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files\"/>
    </mc:Choice>
  </mc:AlternateContent>
  <xr:revisionPtr revIDLastSave="0" documentId="13_ncr:1_{7E3B936E-3DC0-4AB5-AB27-8D09FCCB7782}" xr6:coauthVersionLast="47" xr6:coauthVersionMax="47" xr10:uidLastSave="{00000000-0000-0000-0000-000000000000}"/>
  <bookViews>
    <workbookView xWindow="5910" yWindow="1845" windowWidth="21600" windowHeight="12645" tabRatio="500" xr2:uid="{00000000-000D-0000-FFFF-FFFF00000000}"/>
  </bookViews>
  <sheets>
    <sheet name="MASTER DASHBOARD" sheetId="1" r:id="rId1"/>
    <sheet name="AT_KPIs" sheetId="2" r:id="rId2"/>
    <sheet name="TG_KPIs" sheetId="3" r:id="rId3"/>
    <sheet name="PROJECT_KPIs" sheetId="4" r:id="rId4"/>
  </sheets>
  <externalReferences>
    <externalReference r:id="rId5"/>
    <externalReference r:id="rId6"/>
    <externalReference r:id="rId7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9" i="3" l="1"/>
  <c r="B18" i="3"/>
  <c r="B20" i="3"/>
  <c r="B17" i="3"/>
  <c r="B46" i="3"/>
  <c r="C46" i="4" s="1"/>
  <c r="E45" i="1" s="1"/>
  <c r="B45" i="3"/>
  <c r="C45" i="4" s="1"/>
  <c r="E44" i="1" s="1"/>
  <c r="B44" i="3"/>
  <c r="C44" i="4" s="1"/>
  <c r="E43" i="1" s="1"/>
  <c r="B43" i="3"/>
  <c r="C43" i="4" s="1"/>
  <c r="E42" i="1" s="1"/>
  <c r="B42" i="3"/>
  <c r="C42" i="4" s="1"/>
  <c r="E41" i="1" s="1"/>
  <c r="B41" i="3"/>
  <c r="C41" i="4" s="1"/>
  <c r="B40" i="3"/>
  <c r="B39" i="3"/>
  <c r="B38" i="3"/>
  <c r="B37" i="3"/>
  <c r="B33" i="3" a="1"/>
  <c r="B33" i="3" s="1"/>
  <c r="B32" i="3"/>
  <c r="B31" i="3" a="1"/>
  <c r="B31" i="3" s="1"/>
  <c r="B28" i="3" a="1"/>
  <c r="B28" i="3" s="1"/>
  <c r="B27" i="3" a="1"/>
  <c r="B27" i="3" s="1"/>
  <c r="B25" i="3" a="1"/>
  <c r="B25" i="3" s="1"/>
  <c r="B24" i="3" a="1"/>
  <c r="B24" i="3" s="1"/>
  <c r="B23" i="3" a="1"/>
  <c r="B23" i="3" s="1"/>
  <c r="B26" i="3" a="1"/>
  <c r="B26" i="3" s="1"/>
  <c r="B14" i="3"/>
  <c r="B13" i="3"/>
  <c r="B12" i="3"/>
  <c r="B11" i="3"/>
  <c r="B10" i="3"/>
  <c r="B9" i="3"/>
  <c r="B8" i="3"/>
  <c r="B7" i="3"/>
  <c r="B6" i="3"/>
  <c r="B5" i="3"/>
  <c r="B4" i="3"/>
  <c r="B14" i="2"/>
  <c r="B13" i="2"/>
  <c r="B12" i="2"/>
  <c r="B11" i="2"/>
  <c r="B10" i="2"/>
  <c r="B9" i="2"/>
  <c r="B8" i="2"/>
  <c r="B7" i="2"/>
  <c r="B6" i="2"/>
  <c r="B5" i="2"/>
  <c r="B4" i="2"/>
  <c r="B44" i="2"/>
  <c r="B44" i="4" s="1"/>
  <c r="B43" i="1" s="1"/>
  <c r="B42" i="2"/>
  <c r="B40" i="2"/>
  <c r="B39" i="2"/>
  <c r="B38" i="2"/>
  <c r="B37" i="2"/>
  <c r="H41" i="1" l="1"/>
  <c r="H43" i="1"/>
  <c r="D42" i="4"/>
  <c r="B42" i="4"/>
  <c r="B46" i="2"/>
  <c r="B41" i="2"/>
  <c r="D44" i="4"/>
  <c r="B45" i="2"/>
  <c r="B43" i="2"/>
  <c r="B33" i="2" a="1"/>
  <c r="B33" i="2" s="1"/>
  <c r="B32" i="2"/>
  <c r="B31" i="2" a="1"/>
  <c r="B31" i="2" s="1"/>
  <c r="B19" i="2"/>
  <c r="B18" i="2"/>
  <c r="B20" i="2"/>
  <c r="H44" i="1" l="1"/>
  <c r="H42" i="1"/>
  <c r="D41" i="4"/>
  <c r="B41" i="1"/>
  <c r="B46" i="4"/>
  <c r="H45" i="1"/>
  <c r="B41" i="4"/>
  <c r="D46" i="4"/>
  <c r="D43" i="4"/>
  <c r="B43" i="4"/>
  <c r="B45" i="4"/>
  <c r="D45" i="4"/>
  <c r="B17" i="2"/>
  <c r="B44" i="1" l="1"/>
  <c r="B45" i="1"/>
  <c r="B42" i="1"/>
  <c r="B28" i="2" a="1"/>
  <c r="B28" i="2" s="1"/>
  <c r="B27" i="2" a="1"/>
  <c r="B27" i="2" s="1"/>
  <c r="B26" i="2" a="1"/>
  <c r="B26" i="2" s="1"/>
  <c r="B25" i="2" a="1"/>
  <c r="B25" i="2" s="1"/>
  <c r="B24" i="2" a="1"/>
  <c r="B24" i="2" s="1"/>
  <c r="B23" i="2" a="1"/>
  <c r="B23" i="2" s="1"/>
  <c r="C39" i="4" l="1"/>
  <c r="C38" i="4"/>
  <c r="E36" i="1"/>
  <c r="E32" i="1"/>
  <c r="C32" i="4"/>
  <c r="C31" i="4"/>
  <c r="E27" i="1"/>
  <c r="C27" i="4"/>
  <c r="E25" i="1"/>
  <c r="C25" i="4"/>
  <c r="C24" i="4"/>
  <c r="E20" i="1"/>
  <c r="E19" i="1"/>
  <c r="C18" i="4"/>
  <c r="E14" i="1"/>
  <c r="C14" i="4"/>
  <c r="C13" i="4"/>
  <c r="C12" i="4"/>
  <c r="C10" i="4"/>
  <c r="C9" i="4"/>
  <c r="C8" i="4"/>
  <c r="C7" i="4"/>
  <c r="E7" i="1"/>
  <c r="B40" i="1"/>
  <c r="B39" i="1"/>
  <c r="B39" i="4"/>
  <c r="D38" i="4"/>
  <c r="D37" i="4"/>
  <c r="B32" i="1"/>
  <c r="B32" i="4"/>
  <c r="D31" i="4"/>
  <c r="B27" i="1"/>
  <c r="B25" i="4"/>
  <c r="D24" i="4"/>
  <c r="B21" i="4"/>
  <c r="B19" i="1"/>
  <c r="B19" i="4"/>
  <c r="B15" i="4"/>
  <c r="D14" i="4"/>
  <c r="B13" i="4"/>
  <c r="B12" i="4"/>
  <c r="B11" i="4"/>
  <c r="B10" i="1"/>
  <c r="H9" i="1"/>
  <c r="B8" i="1"/>
  <c r="E38" i="1"/>
  <c r="B38" i="1"/>
  <c r="E30" i="1"/>
  <c r="B20" i="1"/>
  <c r="B18" i="1"/>
  <c r="E12" i="1"/>
  <c r="E11" i="1"/>
  <c r="E8" i="1"/>
  <c r="B7" i="4" l="1"/>
  <c r="B23" i="1"/>
  <c r="D19" i="4"/>
  <c r="B24" i="1"/>
  <c r="E31" i="1"/>
  <c r="B37" i="4"/>
  <c r="H32" i="1"/>
  <c r="H11" i="1"/>
  <c r="H26" i="1"/>
  <c r="D15" i="4"/>
  <c r="B9" i="1"/>
  <c r="B36" i="1"/>
  <c r="B40" i="4"/>
  <c r="B33" i="4"/>
  <c r="C33" i="4"/>
  <c r="D39" i="4"/>
  <c r="E9" i="1"/>
  <c r="H39" i="1"/>
  <c r="C40" i="4"/>
  <c r="H36" i="1"/>
  <c r="H18" i="1"/>
  <c r="B37" i="1"/>
  <c r="H8" i="1"/>
  <c r="C20" i="4"/>
  <c r="H19" i="1"/>
  <c r="C26" i="4"/>
  <c r="H20" i="1"/>
  <c r="C28" i="4"/>
  <c r="E10" i="1"/>
  <c r="D32" i="4"/>
  <c r="D18" i="4"/>
  <c r="E26" i="1"/>
  <c r="D11" i="4"/>
  <c r="B13" i="1"/>
  <c r="H13" i="1"/>
  <c r="H7" i="1"/>
  <c r="B14" i="1"/>
  <c r="D6" i="4"/>
  <c r="H14" i="1"/>
  <c r="D7" i="4"/>
  <c r="D25" i="4"/>
  <c r="B26" i="1"/>
  <c r="H12" i="1"/>
  <c r="E13" i="1"/>
  <c r="H27" i="1"/>
  <c r="B7" i="1"/>
  <c r="B17" i="1"/>
  <c r="H25" i="1"/>
  <c r="C19" i="4"/>
  <c r="B30" i="1"/>
  <c r="D13" i="4"/>
  <c r="B27" i="4"/>
  <c r="E37" i="1"/>
  <c r="B14" i="4"/>
  <c r="D20" i="4"/>
  <c r="D40" i="4"/>
  <c r="B26" i="4"/>
  <c r="D8" i="4"/>
  <c r="B20" i="4"/>
  <c r="D26" i="4"/>
  <c r="H23" i="1"/>
  <c r="H40" i="1"/>
  <c r="B9" i="4"/>
  <c r="D33" i="4"/>
  <c r="H10" i="1"/>
  <c r="E17" i="1"/>
  <c r="H30" i="1"/>
  <c r="B11" i="1"/>
  <c r="H17" i="1"/>
  <c r="E24" i="1"/>
  <c r="B31" i="1"/>
  <c r="H37" i="1"/>
  <c r="B5" i="4"/>
  <c r="D9" i="4"/>
  <c r="D27" i="4"/>
  <c r="E23" i="1"/>
  <c r="E40" i="1"/>
  <c r="D5" i="4"/>
  <c r="B12" i="1"/>
  <c r="B6" i="4"/>
  <c r="D10" i="4"/>
  <c r="C15" i="4"/>
  <c r="B24" i="4"/>
  <c r="D28" i="4"/>
  <c r="C37" i="4"/>
  <c r="E39" i="1"/>
  <c r="B8" i="4"/>
  <c r="D12" i="4"/>
  <c r="H24" i="1"/>
  <c r="C5" i="4"/>
  <c r="B10" i="4"/>
  <c r="C21" i="4"/>
  <c r="B28" i="4"/>
  <c r="E18" i="1"/>
  <c r="B25" i="1"/>
  <c r="H31" i="1"/>
  <c r="D21" i="4"/>
  <c r="H38" i="1"/>
  <c r="C6" i="4"/>
  <c r="B31" i="4"/>
  <c r="C11" i="4"/>
  <c r="B18" i="4"/>
  <c r="B38" i="4"/>
  <c r="B34" i="3" l="1"/>
  <c r="B34" i="2"/>
  <c r="H33" i="1" l="1"/>
  <c r="B34" i="4"/>
  <c r="D34" i="4"/>
  <c r="B33" i="1"/>
  <c r="E33" i="1"/>
  <c r="C3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<sst xmlns="http://schemas.openxmlformats.org/spreadsheetml/2006/main" count="249" uniqueCount="61">
  <si>
    <t>KPI</t>
  </si>
  <si>
    <t>AL TASNIM</t>
  </si>
  <si>
    <t>TARGET</t>
  </si>
  <si>
    <t>PROJECT COMBINED</t>
  </si>
  <si>
    <t>CATEGORY / KPI</t>
  </si>
  <si>
    <t>Value</t>
  </si>
  <si>
    <t>Target</t>
  </si>
  <si>
    <t>Total Incidents</t>
  </si>
  <si>
    <t>0</t>
  </si>
  <si>
    <t>Fatalities</t>
  </si>
  <si>
    <t>Lost Time Injuries (LTI)</t>
  </si>
  <si>
    <t>Recordable Injuries</t>
  </si>
  <si>
    <t>First Aid Cases</t>
  </si>
  <si>
    <t>Near Misses</t>
  </si>
  <si>
    <t>≥LTI×3</t>
  </si>
  <si>
    <t>Unsafe Acts / Conditions</t>
  </si>
  <si>
    <t>—</t>
  </si>
  <si>
    <t>Near Miss : LTI Ratio</t>
  </si>
  <si>
    <t>≥3</t>
  </si>
  <si>
    <t>Total CAPAs</t>
  </si>
  <si>
    <t>Open CAPAs</t>
  </si>
  <si>
    <t>Closed CAPAs</t>
  </si>
  <si>
    <t>CAPA Closure Rate</t>
  </si>
  <si>
    <t>≥80%</t>
  </si>
  <si>
    <t>Total NCRs</t>
  </si>
  <si>
    <t>Open NCRs</t>
  </si>
  <si>
    <t>Closed NCRs</t>
  </si>
  <si>
    <t>Critical Open</t>
  </si>
  <si>
    <t>Major Open</t>
  </si>
  <si>
    <t>Total Observations</t>
  </si>
  <si>
    <t>Open</t>
  </si>
  <si>
    <t>Closed</t>
  </si>
  <si>
    <t>Overdue</t>
  </si>
  <si>
    <t>Total Permits Issued</t>
  </si>
  <si>
    <t>Cancelled</t>
  </si>
  <si>
    <t>Hot Work</t>
  </si>
  <si>
    <t>Cold Work</t>
  </si>
  <si>
    <t>AL TASNIM — CONTRACTOR KPI DASHBOARD  |  A'Thuraya City</t>
  </si>
  <si>
    <t xml:space="preserve">  🚨  HSE INCIDENTS</t>
  </si>
  <si>
    <t>Property Damage</t>
  </si>
  <si>
    <t>Environmental Incidents</t>
  </si>
  <si>
    <t>Traffic Incidents</t>
  </si>
  <si>
    <t xml:space="preserve">  ✅  CAPA REGISTER</t>
  </si>
  <si>
    <t xml:space="preserve">  📋  NON-CONFORMANCE REPORTS</t>
  </si>
  <si>
    <t>Minor Open</t>
  </si>
  <si>
    <t xml:space="preserve">  👁️  OBSERVATIONS</t>
  </si>
  <si>
    <t xml:space="preserve">  📄  PERMIT TO WORK (PTW)</t>
  </si>
  <si>
    <t>Total Permits</t>
  </si>
  <si>
    <t>Confined Space</t>
  </si>
  <si>
    <t>Lifting Operations</t>
  </si>
  <si>
    <t>Electrical</t>
  </si>
  <si>
    <t>TARGET — CONTRACTOR KPI DASHBOARD  |  A'Thuraya City</t>
  </si>
  <si>
    <t>A'THURAYA CITY — PROJECT COMBINED KPI SUMMARY</t>
  </si>
  <si>
    <t>KPI METRIC</t>
  </si>
  <si>
    <t>Lost Time Injuries</t>
  </si>
  <si>
    <t>Unsafe Acts</t>
  </si>
  <si>
    <t>Environmental</t>
  </si>
  <si>
    <t>Overall Closure Rate</t>
  </si>
  <si>
    <t xml:space="preserve">  📄  PERMIT TO WORK</t>
  </si>
  <si>
    <t>Excavation</t>
  </si>
  <si>
    <t>Lifting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</si>
</sst>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 x14ac:knownFonts="1">
    <font>
      <sz val="11"/>
      <color theme="1"/>
      <name val="Calibri"/>
      <family val="2"/>
      <charset val="1"/>
    </font>
    <font>
      <sz val="10"/>
      <color rgb="FF1C2833"/>
      <name val="Arial"/>
      <family val="2"/>
    </font>
    <font>
      <b/>
      <sz val="11"/>
      <color rgb="FF1C2833"/>
      <name val="Arial"/>
      <family val="2"/>
    </font>
    <font>
      <b/>
      <sz val="12"/>
      <color rgb="FFFFFFFF"/>
      <name val="Arial"/>
      <family val="2"/>
    </font>
    <font>
      <b/>
      <sz val="9"/>
      <color rgb="FF1C2833"/>
      <name val="Arial"/>
      <family val="2"/>
    </font>
    <font>
      <sz val="8"/>
      <color rgb="FFFFFFFF"/>
      <name val="Arial"/>
      <family val="2"/>
    </font>
    <font>
      <b/>
      <sz val="13"/>
      <color rgb="FF1C2833"/>
      <name val="Arial"/>
      <family val="2"/>
    </font>
    <font>
      <i/>
      <sz val="9"/>
      <color rgb="FF888888"/>
      <name val="Arial"/>
      <family val="2"/>
    </font>
    <font>
      <b/>
      <sz val="13"/>
      <color rgb="FFC0392B"/>
      <name val="Arial"/>
      <family val="2"/>
    </font>
    <font>
      <b/>
      <sz val="13"/>
      <color rgb="FFD68910"/>
      <name val="Arial"/>
      <family val="2"/>
    </font>
    <font>
      <b/>
      <sz val="13"/>
      <color rgb="FF1E8449"/>
      <name val="Arial"/>
      <family val="2"/>
    </font>
    <font>
      <b/>
      <sz val="14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rgb="FF0D2B55"/>
      <name val="Arial"/>
      <family val="2"/>
    </font>
    <font>
      <b/>
      <sz val="12"/>
      <color rgb="FFC0392B"/>
      <name val="Arial"/>
      <family val="2"/>
    </font>
    <font>
      <b/>
      <sz val="12"/>
      <color rgb="FFD68910"/>
      <name val="Arial"/>
      <family val="2"/>
    </font>
    <font>
      <b/>
      <sz val="12"/>
      <color rgb="FF1E8449"/>
      <name val="Arial"/>
      <family val="2"/>
    </font>
    <font>
      <b/>
      <sz val="16"/>
      <color rgb="FFFFFFFF"/>
      <name val="Arial"/>
      <family val="2"/>
    </font>
    <font>
      <sz val="10"/>
      <color rgb="FF1C2833"/>
      <name val="Arial"/>
      <family val="2"/>
    </font>
    <font>
      <sz val="16"/>
      <color theme="0"/>
      <name val="Arial"/>
      <family val="2"/>
    </font>
    <font>
      <b/>
      <sz val="12"/>
      <color rgb="FF0D2B55"/>
      <name val="Arial"/>
      <family val="2"/>
    </font>
    <font>
      <sz val="12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0D2B55"/>
        <bgColor rgb="FF091E38"/>
      </patternFill>
    </fill>
    <fill>
      <patternFill patternType="solid">
        <fgColor rgb="FF091E38"/>
        <bgColor rgb="FF1C2833"/>
      </patternFill>
    </fill>
    <fill>
      <patternFill patternType="solid">
        <fgColor rgb="FFF2F3F4"/>
        <bgColor rgb="FFFFFFFF"/>
      </patternFill>
    </fill>
    <fill>
      <patternFill patternType="solid">
        <fgColor rgb="FFD5D8DC"/>
        <bgColor rgb="FFCCCCCC"/>
      </patternFill>
    </fill>
    <fill>
      <patternFill patternType="solid">
        <fgColor rgb="FF154360"/>
        <bgColor rgb="FF0D2B55"/>
      </patternFill>
    </fill>
    <fill>
      <patternFill patternType="solid">
        <fgColor rgb="FF0E6655"/>
        <bgColor rgb="FF117A65"/>
      </patternFill>
    </fill>
    <fill>
      <patternFill patternType="solid">
        <fgColor rgb="FFC0392B"/>
        <bgColor rgb="FFD35400"/>
      </patternFill>
    </fill>
    <fill>
      <patternFill patternType="solid">
        <fgColor rgb="FFFFFFFF"/>
        <bgColor rgb="FFF2F3F4"/>
      </patternFill>
    </fill>
    <fill>
      <patternFill patternType="solid">
        <fgColor rgb="FFFADBD8"/>
        <bgColor rgb="FFFDEBD0"/>
      </patternFill>
    </fill>
    <fill>
      <patternFill patternType="solid">
        <fgColor rgb="FFFDEBD0"/>
        <bgColor rgb="FFFADBD8"/>
      </patternFill>
    </fill>
    <fill>
      <patternFill patternType="solid">
        <fgColor rgb="FFD5F5E3"/>
        <bgColor rgb="FFD6EAF8"/>
      </patternFill>
    </fill>
    <fill>
      <patternFill patternType="solid">
        <fgColor rgb="FF117A65"/>
        <bgColor rgb="FF1E8449"/>
      </patternFill>
    </fill>
    <fill>
      <patternFill patternType="solid">
        <fgColor rgb="FFD35400"/>
        <bgColor rgb="FFC0392B"/>
      </patternFill>
    </fill>
    <fill>
      <patternFill patternType="solid">
        <fgColor rgb="FF1C2833"/>
        <bgColor rgb="FF091E38"/>
      </patternFill>
    </fill>
    <fill>
      <patternFill patternType="solid">
        <fgColor rgb="FFD6EAF8"/>
        <bgColor rgb="FFD5F5E3"/>
      </patternFill>
    </fill>
    <fill>
      <patternFill patternType="solid">
        <fgColor rgb="FF006600"/>
        <bgColor rgb="FF993366"/>
      </patternFill>
    </fill>
    <fill>
      <patternFill patternType="solid">
        <fgColor theme="9" tint="-0.249977111117893"/>
        <bgColor rgb="FF0D2B55"/>
      </patternFill>
    </fill>
    <fill>
      <patternFill patternType="solid">
        <fgColor rgb="FF1B3A6B"/>
        <bgColor rgb="FF117A65"/>
      </patternFill>
    </fill>
    <fill>
      <patternFill patternType="solid">
        <fgColor rgb="FF1B3A6B"/>
        <bgColor rgb="FFCCCCCC"/>
      </patternFill>
    </fill>
    <fill>
      <patternFill patternType="solid">
        <fgColor rgb="FFD6EAF8"/>
        <bgColor rgb="FFFDEBD0"/>
      </patternFill>
    </fill>
  </fills>
  <borders count="3">
    <border>
      <left/>
      <right/>
      <top/>
      <bottom/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4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2" xfId="0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0" fontId="8" fillId="10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164" fontId="10" fillId="12" borderId="2" xfId="0" applyNumberFormat="1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9" fontId="10" fillId="12" borderId="2" xfId="0" applyNumberFormat="1" applyFont="1" applyFill="1" applyBorder="1" applyAlignment="1">
      <alignment horizontal="center" vertical="center"/>
    </xf>
    <xf numFmtId="0" fontId="13" fillId="16" borderId="2" xfId="0" applyFont="1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164" fontId="16" fillId="12" borderId="2" xfId="0" applyNumberFormat="1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9" fontId="16" fillId="12" borderId="2" xfId="0" applyNumberFormat="1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 vertical="center"/>
    </xf>
    <xf numFmtId="1" fontId="13" fillId="16" borderId="2" xfId="0" applyNumberFormat="1" applyFont="1" applyFill="1" applyBorder="1" applyAlignment="1">
      <alignment horizontal="center" vertical="center"/>
    </xf>
    <xf numFmtId="1" fontId="14" fillId="10" borderId="2" xfId="0" applyNumberFormat="1" applyFont="1" applyFill="1" applyBorder="1" applyAlignment="1">
      <alignment horizontal="center" vertical="center"/>
    </xf>
    <xf numFmtId="1" fontId="16" fillId="12" borderId="2" xfId="0" applyNumberFormat="1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left" vertical="center"/>
    </xf>
    <xf numFmtId="1" fontId="15" fillId="11" borderId="2" xfId="0" applyNumberFormat="1" applyFont="1" applyFill="1" applyBorder="1" applyAlignment="1">
      <alignment horizontal="center" vertical="center"/>
    </xf>
    <xf numFmtId="0" fontId="12" fillId="20" borderId="1" xfId="0" applyFont="1" applyFill="1" applyBorder="1" applyAlignment="1">
      <alignment horizontal="center" vertical="center"/>
    </xf>
    <xf numFmtId="0" fontId="20" fillId="16" borderId="2" xfId="0" applyFont="1" applyFill="1" applyBorder="1" applyAlignment="1">
      <alignment horizontal="center" vertical="center"/>
    </xf>
    <xf numFmtId="0" fontId="20" fillId="21" borderId="2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left" vertical="center"/>
    </xf>
    <xf numFmtId="0" fontId="11" fillId="18" borderId="1" xfId="0" applyFont="1" applyFill="1" applyBorder="1" applyAlignment="1">
      <alignment horizontal="left" vertical="center"/>
    </xf>
    <xf numFmtId="0" fontId="12" fillId="8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left" vertical="center"/>
    </xf>
    <xf numFmtId="0" fontId="12" fillId="14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left" vertical="center"/>
    </xf>
    <xf numFmtId="0" fontId="17" fillId="19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17A65"/>
      <rgbColor rgb="FFCCCCCC"/>
      <rgbColor rgb="FF888888"/>
      <rgbColor rgb="FF9999FF"/>
      <rgbColor rgb="FFC0392B"/>
      <rgbColor rgb="FFFDEBD0"/>
      <rgbColor rgb="FFD6EAF8"/>
      <rgbColor rgb="FF660066"/>
      <rgbColor rgb="FFFF8080"/>
      <rgbColor rgb="FF0066CC"/>
      <rgbColor rgb="FFD5D8DC"/>
      <rgbColor rgb="FF000080"/>
      <rgbColor rgb="FFFF00FF"/>
      <rgbColor rgb="FFFFFF00"/>
      <rgbColor rgb="FF00FFFF"/>
      <rgbColor rgb="FF800080"/>
      <rgbColor rgb="FF800000"/>
      <rgbColor rgb="FF0E6655"/>
      <rgbColor rgb="FF0000FF"/>
      <rgbColor rgb="FF00CCFF"/>
      <rgbColor rgb="FFF2F3F4"/>
      <rgbColor rgb="FFD5F5E3"/>
      <rgbColor rgb="FFFFFF99"/>
      <rgbColor rgb="FF99CCFF"/>
      <rgbColor rgb="FFFF99CC"/>
      <rgbColor rgb="FFCC99FF"/>
      <rgbColor rgb="FFFADBD8"/>
      <rgbColor rgb="FF3366FF"/>
      <rgbColor rgb="FF33CCCC"/>
      <rgbColor rgb="FF99CC00"/>
      <rgbColor rgb="FFFFCC00"/>
      <rgbColor rgb="FFD68910"/>
      <rgbColor rgb="FFD35400"/>
      <rgbColor rgb="FF666699"/>
      <rgbColor rgb="FF969696"/>
      <rgbColor rgb="FF0D2B55"/>
      <rgbColor rgb="FF1E8449"/>
      <rgbColor rgb="FF091E38"/>
      <rgbColor rgb="FF333300"/>
      <rgbColor rgb="FF784212"/>
      <rgbColor rgb="FF993366"/>
      <rgbColor rgb="FF154360"/>
      <rgbColor rgb="FF1C28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6EAF8"/>
      <color rgb="FF0D2B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fmmiddleeast-my.sharepoint.com/personal/amjad_ab_fm-me_com/Documents/files/HSE_Incident_Dashboard.xlsx" TargetMode="External"/><Relationship Id="rId1" Type="http://schemas.openxmlformats.org/officeDocument/2006/relationships/externalLinkPath" Target="HSE_Incident_Dashboard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fmmiddleeast-my.sharepoint.com/personal/amjad_ab_fm-me_com/Documents/files/NCR_OBS_Dashboard.xlsx" TargetMode="External"/><Relationship Id="rId1" Type="http://schemas.openxmlformats.org/officeDocument/2006/relationships/externalLinkPath" Target="NCR_OBS_Dashboard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fmmiddleeast-my.sharepoint.com/personal/amjad_ab_fm-me_com/Documents/files/PTW_Log_Dashboard.xlsx" TargetMode="External"/><Relationship Id="rId1" Type="http://schemas.openxmlformats.org/officeDocument/2006/relationships/externalLinkPath" Target="PTW_Log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Al_Tasnim_Data"/>
      <sheetName val="Target_Data"/>
      <sheetName val="CAPA_Register"/>
      <sheetName val="KPI_Summary"/>
      <sheetName val="ChartData"/>
    </sheetNames>
    <sheetDataSet>
      <sheetData sheetId="0">
        <row r="13">
          <cell r="G13">
            <v>0</v>
          </cell>
          <cell r="P13">
            <v>0</v>
          </cell>
        </row>
        <row r="14">
          <cell r="G14">
            <v>0</v>
          </cell>
          <cell r="P14">
            <v>0</v>
          </cell>
        </row>
        <row r="15">
          <cell r="G15">
            <v>0</v>
          </cell>
          <cell r="P15">
            <v>0</v>
          </cell>
        </row>
        <row r="16">
          <cell r="G16">
            <v>1</v>
          </cell>
          <cell r="P16">
            <v>0</v>
          </cell>
        </row>
        <row r="17">
          <cell r="G17">
            <v>2</v>
          </cell>
        </row>
        <row r="18">
          <cell r="G18">
            <v>0</v>
          </cell>
          <cell r="P18">
            <v>0</v>
          </cell>
        </row>
        <row r="19">
          <cell r="G19">
            <v>2</v>
          </cell>
          <cell r="P19">
            <v>0</v>
          </cell>
        </row>
        <row r="20">
          <cell r="G20">
            <v>0</v>
          </cell>
          <cell r="P20">
            <v>0</v>
          </cell>
        </row>
        <row r="21">
          <cell r="G21">
            <v>5</v>
          </cell>
          <cell r="P21">
            <v>0</v>
          </cell>
        </row>
        <row r="22">
          <cell r="G22">
            <v>10</v>
          </cell>
          <cell r="P22">
            <v>0</v>
          </cell>
        </row>
        <row r="23">
          <cell r="G23">
            <v>0</v>
          </cell>
          <cell r="P23">
            <v>0</v>
          </cell>
        </row>
        <row r="48">
          <cell r="D48">
            <v>11</v>
          </cell>
          <cell r="G48">
            <v>5</v>
          </cell>
          <cell r="J48">
            <v>9</v>
          </cell>
          <cell r="M48">
            <v>7</v>
          </cell>
          <cell r="P48">
            <v>0.66666666666666663</v>
          </cell>
          <cell r="S48">
            <v>0.7142857142857143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CR Dashboard"/>
      <sheetName val="OBS Dashboard"/>
      <sheetName val="NCR - Al Tasnim"/>
      <sheetName val="NCR - Target"/>
      <sheetName val="OBS - Al Tasnim"/>
      <sheetName val="OBS - Target"/>
    </sheetNames>
    <sheetDataSet>
      <sheetData sheetId="0">
        <row r="4">
          <cell r="A4">
            <v>22</v>
          </cell>
          <cell r="B4"/>
          <cell r="C4">
            <v>0</v>
          </cell>
          <cell r="D4"/>
          <cell r="E4">
            <v>22</v>
          </cell>
          <cell r="F4"/>
          <cell r="J4">
            <v>7</v>
          </cell>
          <cell r="K4"/>
          <cell r="L4">
            <v>1</v>
          </cell>
          <cell r="M4"/>
          <cell r="N4">
            <v>6</v>
          </cell>
          <cell r="O4"/>
        </row>
        <row r="7">
          <cell r="C7">
            <v>0</v>
          </cell>
          <cell r="D7"/>
          <cell r="E7">
            <v>0</v>
          </cell>
          <cell r="F7"/>
          <cell r="G7">
            <v>0</v>
          </cell>
          <cell r="H7"/>
          <cell r="L7">
            <v>1</v>
          </cell>
          <cell r="M7"/>
          <cell r="N7">
            <v>0</v>
          </cell>
          <cell r="O7"/>
          <cell r="P7">
            <v>0</v>
          </cell>
          <cell r="Q7"/>
        </row>
      </sheetData>
      <sheetData sheetId="1">
        <row r="4">
          <cell r="A4">
            <v>1</v>
          </cell>
          <cell r="B4"/>
          <cell r="C4">
            <v>1</v>
          </cell>
          <cell r="D4">
            <v>0</v>
          </cell>
          <cell r="E4"/>
          <cell r="F4">
            <v>1</v>
          </cell>
          <cell r="H4">
            <v>1</v>
          </cell>
          <cell r="I4"/>
          <cell r="J4">
            <v>1</v>
          </cell>
          <cell r="K4">
            <v>0</v>
          </cell>
          <cell r="L4"/>
          <cell r="M4">
            <v>1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Al Tasnim"/>
      <sheetName val="Target"/>
    </sheetNames>
    <sheetDataSet>
      <sheetData sheetId="0">
        <row r="4">
          <cell r="A4">
            <v>324</v>
          </cell>
          <cell r="C4">
            <v>60</v>
          </cell>
          <cell r="D4">
            <v>192</v>
          </cell>
          <cell r="F4">
            <v>24</v>
          </cell>
          <cell r="H4">
            <v>129</v>
          </cell>
          <cell r="J4">
            <v>0</v>
          </cell>
          <cell r="K4">
            <v>129</v>
          </cell>
          <cell r="M4">
            <v>0</v>
          </cell>
        </row>
        <row r="9">
          <cell r="E9">
            <v>144</v>
          </cell>
          <cell r="L9">
            <v>116</v>
          </cell>
        </row>
        <row r="10">
          <cell r="E10">
            <v>59</v>
          </cell>
          <cell r="L10">
            <v>116</v>
          </cell>
        </row>
        <row r="11">
          <cell r="E11">
            <v>36</v>
          </cell>
          <cell r="L11">
            <v>6</v>
          </cell>
        </row>
        <row r="12">
          <cell r="E12">
            <v>23</v>
          </cell>
          <cell r="L12">
            <v>3</v>
          </cell>
        </row>
        <row r="13">
          <cell r="E13">
            <v>24</v>
          </cell>
          <cell r="L13">
            <v>0</v>
          </cell>
        </row>
        <row r="14">
          <cell r="E14">
            <v>35</v>
          </cell>
          <cell r="L14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5"/>
  <sheetViews>
    <sheetView showGridLines="0" tabSelected="1" topLeftCell="A29" zoomScale="130" zoomScaleNormal="130" workbookViewId="0">
      <selection activeCell="K26" sqref="K26"/>
    </sheetView>
  </sheetViews>
  <sheetFormatPr defaultColWidth="8.7109375" defaultRowHeight="15" x14ac:dyDescent="0.25"/>
  <cols>
    <col min="1" max="1" width="28" customWidth="1"/>
    <col min="2" max="2" width="14" customWidth="1"/>
    <col min="3" max="3" width="12" customWidth="1"/>
    <col min="4" max="4" width="1" customWidth="1"/>
    <col min="5" max="5" width="14" customWidth="1"/>
    <col min="6" max="6" width="12" customWidth="1"/>
    <col min="7" max="7" width="1" customWidth="1"/>
    <col min="8" max="8" width="15" customWidth="1"/>
    <col min="9" max="9" width="12" customWidth="1"/>
  </cols>
  <sheetData>
    <row r="1" spans="1:9" ht="54" customHeight="1" x14ac:dyDescent="0.25">
      <c r="A1" s="46"/>
      <c r="B1" s="46"/>
      <c r="C1" s="46"/>
      <c r="D1" s="46"/>
      <c r="E1" s="46"/>
      <c r="F1" s="46"/>
      <c r="G1" s="46"/>
      <c r="H1" s="46"/>
      <c r="I1" s="46"/>
    </row>
    <row r="2" spans="1:9" ht="19.5" customHeight="1" x14ac:dyDescent="0.25">
      <c r="A2" s="47"/>
      <c r="B2" s="47"/>
      <c r="C2" s="47"/>
      <c r="D2" s="47"/>
      <c r="E2" s="47"/>
      <c r="F2" s="47"/>
      <c r="G2" s="47"/>
      <c r="H2" s="47"/>
      <c r="I2" s="47"/>
    </row>
    <row r="3" spans="1:9" ht="6" customHeight="1" thickBot="1" x14ac:dyDescent="0.3">
      <c r="A3" s="48"/>
      <c r="B3" s="48"/>
      <c r="C3" s="48"/>
      <c r="D3" s="48"/>
      <c r="E3" s="48"/>
      <c r="F3" s="48"/>
      <c r="G3" s="48"/>
      <c r="H3" s="48"/>
      <c r="I3" s="48"/>
    </row>
    <row r="4" spans="1:9" ht="25.5" customHeight="1" thickBot="1" x14ac:dyDescent="0.3">
      <c r="A4" s="2" t="s">
        <v>0</v>
      </c>
      <c r="B4" s="49" t="s">
        <v>1</v>
      </c>
      <c r="C4" s="49"/>
      <c r="D4" s="1"/>
      <c r="E4" s="50" t="s">
        <v>2</v>
      </c>
      <c r="F4" s="50"/>
      <c r="G4" s="1"/>
      <c r="H4" s="51" t="s">
        <v>3</v>
      </c>
      <c r="I4" s="51"/>
    </row>
    <row r="5" spans="1:9" ht="19.5" customHeight="1" x14ac:dyDescent="0.25">
      <c r="A5" s="3" t="s">
        <v>4</v>
      </c>
      <c r="B5" s="4" t="s">
        <v>5</v>
      </c>
      <c r="C5" s="4" t="s">
        <v>6</v>
      </c>
      <c r="D5" s="5"/>
      <c r="E5" s="30" t="s">
        <v>5</v>
      </c>
      <c r="F5" s="30" t="s">
        <v>6</v>
      </c>
      <c r="G5" s="5"/>
      <c r="H5" s="6" t="s">
        <v>5</v>
      </c>
      <c r="I5" s="6" t="s">
        <v>6</v>
      </c>
    </row>
    <row r="6" spans="1:9" ht="25.5" customHeight="1" x14ac:dyDescent="0.25">
      <c r="A6" s="41"/>
      <c r="B6" s="41"/>
      <c r="C6" s="41"/>
      <c r="D6" s="41"/>
      <c r="E6" s="41"/>
      <c r="F6" s="41"/>
      <c r="G6" s="41"/>
      <c r="H6" s="41"/>
      <c r="I6" s="41"/>
    </row>
    <row r="7" spans="1:9" ht="21.75" customHeight="1" x14ac:dyDescent="0.25">
      <c r="A7" s="8" t="s">
        <v>7</v>
      </c>
      <c r="B7" s="9">
        <f>AT_KPIs!B4</f>
        <v>10</v>
      </c>
      <c r="C7" s="10" t="s">
        <v>8</v>
      </c>
      <c r="D7" s="7"/>
      <c r="E7" s="9">
        <f>TG_KPIs!B4</f>
        <v>0</v>
      </c>
      <c r="F7" s="10" t="s">
        <v>8</v>
      </c>
      <c r="G7" s="7"/>
      <c r="H7" s="9">
        <f>AT_KPIs!B4+TG_KPIs!B4</f>
        <v>10</v>
      </c>
      <c r="I7" s="10" t="s">
        <v>8</v>
      </c>
    </row>
    <row r="8" spans="1:9" ht="21.75" customHeight="1" x14ac:dyDescent="0.25">
      <c r="A8" s="11" t="s">
        <v>9</v>
      </c>
      <c r="B8" s="12">
        <f>AT_KPIs!B5</f>
        <v>0</v>
      </c>
      <c r="C8" s="13" t="s">
        <v>8</v>
      </c>
      <c r="D8" s="1"/>
      <c r="E8" s="12">
        <f>TG_KPIs!B5</f>
        <v>0</v>
      </c>
      <c r="F8" s="13" t="s">
        <v>8</v>
      </c>
      <c r="G8" s="1"/>
      <c r="H8" s="12">
        <f>AT_KPIs!B5+TG_KPIs!B5</f>
        <v>0</v>
      </c>
      <c r="I8" s="13" t="s">
        <v>8</v>
      </c>
    </row>
    <row r="9" spans="1:9" ht="21.75" customHeight="1" x14ac:dyDescent="0.25">
      <c r="A9" s="8" t="s">
        <v>10</v>
      </c>
      <c r="B9" s="12">
        <f>AT_KPIs!B6</f>
        <v>0</v>
      </c>
      <c r="C9" s="10" t="s">
        <v>8</v>
      </c>
      <c r="D9" s="7"/>
      <c r="E9" s="12">
        <f>TG_KPIs!B6</f>
        <v>0</v>
      </c>
      <c r="F9" s="10" t="s">
        <v>8</v>
      </c>
      <c r="G9" s="7"/>
      <c r="H9" s="12">
        <f>AT_KPIs!B6+TG_KPIs!B6</f>
        <v>0</v>
      </c>
      <c r="I9" s="10" t="s">
        <v>8</v>
      </c>
    </row>
    <row r="10" spans="1:9" ht="21.75" customHeight="1" x14ac:dyDescent="0.25">
      <c r="A10" s="11" t="s">
        <v>11</v>
      </c>
      <c r="B10" s="14">
        <f>AT_KPIs!B7</f>
        <v>0</v>
      </c>
      <c r="C10" s="13" t="s">
        <v>8</v>
      </c>
      <c r="D10" s="1"/>
      <c r="E10" s="14">
        <f>TG_KPIs!B7</f>
        <v>0</v>
      </c>
      <c r="F10" s="13" t="s">
        <v>8</v>
      </c>
      <c r="G10" s="1"/>
      <c r="H10" s="14">
        <f>AT_KPIs!B7+TG_KPIs!B7</f>
        <v>0</v>
      </c>
      <c r="I10" s="13" t="s">
        <v>8</v>
      </c>
    </row>
    <row r="11" spans="1:9" ht="21.75" customHeight="1" x14ac:dyDescent="0.25">
      <c r="A11" s="8" t="s">
        <v>12</v>
      </c>
      <c r="B11" s="9">
        <f>AT_KPIs!B8</f>
        <v>1</v>
      </c>
      <c r="C11" s="10" t="s">
        <v>8</v>
      </c>
      <c r="D11" s="7"/>
      <c r="E11" s="9">
        <f>TG_KPIs!B8</f>
        <v>0</v>
      </c>
      <c r="F11" s="10" t="s">
        <v>8</v>
      </c>
      <c r="G11" s="7"/>
      <c r="H11" s="9">
        <f>AT_KPIs!B8+TG_KPIs!B8</f>
        <v>1</v>
      </c>
      <c r="I11" s="10" t="s">
        <v>8</v>
      </c>
    </row>
    <row r="12" spans="1:9" ht="21.75" customHeight="1" x14ac:dyDescent="0.25">
      <c r="A12" s="11" t="s">
        <v>13</v>
      </c>
      <c r="B12" s="15">
        <f>AT_KPIs!B9</f>
        <v>2</v>
      </c>
      <c r="C12" s="13" t="s">
        <v>14</v>
      </c>
      <c r="D12" s="1"/>
      <c r="E12" s="15">
        <f>TG_KPIs!B9</f>
        <v>2</v>
      </c>
      <c r="F12" s="13" t="s">
        <v>14</v>
      </c>
      <c r="G12" s="1"/>
      <c r="H12" s="15">
        <f>AT_KPIs!B9+TG_KPIs!B9</f>
        <v>4</v>
      </c>
      <c r="I12" s="13" t="s">
        <v>14</v>
      </c>
    </row>
    <row r="13" spans="1:9" ht="21.75" customHeight="1" x14ac:dyDescent="0.25">
      <c r="A13" s="8" t="s">
        <v>15</v>
      </c>
      <c r="B13" s="9">
        <f>AT_KPIs!B10</f>
        <v>0</v>
      </c>
      <c r="C13" s="10" t="s">
        <v>16</v>
      </c>
      <c r="D13" s="7"/>
      <c r="E13" s="9">
        <f>TG_KPIs!B10</f>
        <v>0</v>
      </c>
      <c r="F13" s="10" t="s">
        <v>16</v>
      </c>
      <c r="G13" s="7"/>
      <c r="H13" s="9">
        <f>AT_KPIs!B10+TG_KPIs!B10</f>
        <v>0</v>
      </c>
      <c r="I13" s="10" t="s">
        <v>16</v>
      </c>
    </row>
    <row r="14" spans="1:9" ht="21.75" customHeight="1" x14ac:dyDescent="0.25">
      <c r="A14" s="11" t="s">
        <v>17</v>
      </c>
      <c r="B14" s="16">
        <f>AT_KPIs!B14</f>
        <v>0</v>
      </c>
      <c r="C14" s="13" t="s">
        <v>18</v>
      </c>
      <c r="D14" s="1"/>
      <c r="E14" s="16">
        <f>TG_KPIs!B14</f>
        <v>0</v>
      </c>
      <c r="F14" s="13" t="s">
        <v>18</v>
      </c>
      <c r="G14" s="1"/>
      <c r="H14" s="16">
        <f>IFERROR((AT_KPIs!B9+TG_KPIs!B9)/IF(AT_KPIs!B6+TG_KPIs!B6=0,1,AT_KPIs!B6+TG_KPIs!B6),0)</f>
        <v>4</v>
      </c>
      <c r="I14" s="13" t="s">
        <v>18</v>
      </c>
    </row>
    <row r="16" spans="1:9" ht="25.5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</row>
    <row r="17" spans="1:9" ht="21.75" customHeight="1" x14ac:dyDescent="0.25">
      <c r="A17" s="8" t="s">
        <v>19</v>
      </c>
      <c r="B17" s="9">
        <f>AT_KPIs!B17</f>
        <v>9</v>
      </c>
      <c r="C17" s="10" t="s">
        <v>16</v>
      </c>
      <c r="D17" s="7"/>
      <c r="E17" s="9">
        <f>TG_KPIs!B17</f>
        <v>7</v>
      </c>
      <c r="F17" s="10" t="s">
        <v>16</v>
      </c>
      <c r="G17" s="7"/>
      <c r="H17" s="9">
        <f>AT_KPIs!B17+TG_KPIs!B17</f>
        <v>16</v>
      </c>
      <c r="I17" s="10" t="s">
        <v>16</v>
      </c>
    </row>
    <row r="18" spans="1:9" ht="21.75" customHeight="1" x14ac:dyDescent="0.25">
      <c r="A18" s="11" t="s">
        <v>20</v>
      </c>
      <c r="B18" s="12">
        <f>AT_KPIs!B18</f>
        <v>5</v>
      </c>
      <c r="C18" s="13" t="s">
        <v>8</v>
      </c>
      <c r="D18" s="1"/>
      <c r="E18" s="12">
        <f>TG_KPIs!B18</f>
        <v>5</v>
      </c>
      <c r="F18" s="13" t="s">
        <v>8</v>
      </c>
      <c r="G18" s="1"/>
      <c r="H18" s="12">
        <f>AT_KPIs!B18+TG_KPIs!B18</f>
        <v>10</v>
      </c>
      <c r="I18" s="13" t="s">
        <v>8</v>
      </c>
    </row>
    <row r="19" spans="1:9" ht="21.75" customHeight="1" x14ac:dyDescent="0.25">
      <c r="A19" s="8" t="s">
        <v>21</v>
      </c>
      <c r="B19" s="17">
        <f>AT_KPIs!B19</f>
        <v>11</v>
      </c>
      <c r="C19" s="10" t="s">
        <v>16</v>
      </c>
      <c r="D19" s="7"/>
      <c r="E19" s="17">
        <f>TG_KPIs!B19</f>
        <v>11</v>
      </c>
      <c r="F19" s="10" t="s">
        <v>16</v>
      </c>
      <c r="G19" s="7"/>
      <c r="H19" s="17">
        <f>AT_KPIs!B19+TG_KPIs!B19</f>
        <v>22</v>
      </c>
      <c r="I19" s="10" t="s">
        <v>16</v>
      </c>
    </row>
    <row r="20" spans="1:9" ht="21.75" customHeight="1" x14ac:dyDescent="0.25">
      <c r="A20" s="11" t="s">
        <v>22</v>
      </c>
      <c r="B20" s="18">
        <f>AT_KPIs!B20</f>
        <v>0.66666666666666663</v>
      </c>
      <c r="C20" s="13" t="s">
        <v>23</v>
      </c>
      <c r="D20" s="1"/>
      <c r="E20" s="18">
        <f>TG_KPIs!B20</f>
        <v>0.7142857142857143</v>
      </c>
      <c r="F20" s="13" t="s">
        <v>23</v>
      </c>
      <c r="G20" s="1"/>
      <c r="H20" s="18">
        <f>IFERROR((AT_KPIs!B19+TG_KPIs!B19)/(AT_KPIs!B17+TG_KPIs!B17),0)</f>
        <v>1.375</v>
      </c>
      <c r="I20" s="13" t="s">
        <v>23</v>
      </c>
    </row>
    <row r="22" spans="1:9" ht="25.5" customHeight="1" x14ac:dyDescent="0.25">
      <c r="A22" s="43"/>
      <c r="B22" s="43"/>
      <c r="C22" s="43"/>
      <c r="D22" s="43"/>
      <c r="E22" s="43"/>
      <c r="F22" s="43"/>
      <c r="G22" s="43"/>
      <c r="H22" s="43"/>
      <c r="I22" s="43"/>
    </row>
    <row r="23" spans="1:9" ht="21.75" customHeight="1" x14ac:dyDescent="0.25">
      <c r="A23" s="8" t="s">
        <v>24</v>
      </c>
      <c r="B23" s="9">
        <f>AT_KPIs!B23</f>
        <v>22</v>
      </c>
      <c r="C23" s="10" t="s">
        <v>16</v>
      </c>
      <c r="D23" s="7"/>
      <c r="E23" s="9">
        <f>TG_KPIs!B23</f>
        <v>7</v>
      </c>
      <c r="F23" s="10" t="s">
        <v>16</v>
      </c>
      <c r="G23" s="7"/>
      <c r="H23" s="9">
        <f>AT_KPIs!B23+TG_KPIs!B23</f>
        <v>29</v>
      </c>
      <c r="I23" s="10" t="s">
        <v>16</v>
      </c>
    </row>
    <row r="24" spans="1:9" ht="21.75" customHeight="1" x14ac:dyDescent="0.25">
      <c r="A24" s="11" t="s">
        <v>25</v>
      </c>
      <c r="B24" s="12">
        <f>AT_KPIs!B24</f>
        <v>0</v>
      </c>
      <c r="C24" s="13" t="s">
        <v>8</v>
      </c>
      <c r="D24" s="1"/>
      <c r="E24" s="12">
        <f>TG_KPIs!B24</f>
        <v>1</v>
      </c>
      <c r="F24" s="13" t="s">
        <v>8</v>
      </c>
      <c r="G24" s="1"/>
      <c r="H24" s="12">
        <f>AT_KPIs!B24+TG_KPIs!B24</f>
        <v>1</v>
      </c>
      <c r="I24" s="13" t="s">
        <v>8</v>
      </c>
    </row>
    <row r="25" spans="1:9" ht="21.75" customHeight="1" x14ac:dyDescent="0.25">
      <c r="A25" s="8" t="s">
        <v>26</v>
      </c>
      <c r="B25" s="17">
        <f>AT_KPIs!B25</f>
        <v>22</v>
      </c>
      <c r="C25" s="10" t="s">
        <v>16</v>
      </c>
      <c r="D25" s="7"/>
      <c r="E25" s="17">
        <f>TG_KPIs!B25</f>
        <v>6</v>
      </c>
      <c r="F25" s="10" t="s">
        <v>16</v>
      </c>
      <c r="G25" s="7"/>
      <c r="H25" s="17">
        <f>AT_KPIs!B25+TG_KPIs!B25</f>
        <v>28</v>
      </c>
      <c r="I25" s="10" t="s">
        <v>16</v>
      </c>
    </row>
    <row r="26" spans="1:9" ht="21.75" customHeight="1" x14ac:dyDescent="0.25">
      <c r="A26" s="11" t="s">
        <v>27</v>
      </c>
      <c r="B26" s="12">
        <f>AT_KPIs!B26</f>
        <v>0</v>
      </c>
      <c r="C26" s="13" t="s">
        <v>8</v>
      </c>
      <c r="D26" s="1"/>
      <c r="E26" s="12">
        <f>TG_KPIs!B26</f>
        <v>1</v>
      </c>
      <c r="F26" s="13" t="s">
        <v>8</v>
      </c>
      <c r="G26" s="1"/>
      <c r="H26" s="12">
        <f>AT_KPIs!B26+TG_KPIs!B26</f>
        <v>1</v>
      </c>
      <c r="I26" s="13" t="s">
        <v>8</v>
      </c>
    </row>
    <row r="27" spans="1:9" ht="21.75" customHeight="1" x14ac:dyDescent="0.25">
      <c r="A27" s="8" t="s">
        <v>28</v>
      </c>
      <c r="B27" s="15">
        <f>AT_KPIs!B27</f>
        <v>0</v>
      </c>
      <c r="C27" s="10" t="s">
        <v>8</v>
      </c>
      <c r="D27" s="7"/>
      <c r="E27" s="15">
        <f>TG_KPIs!B27</f>
        <v>0</v>
      </c>
      <c r="F27" s="10" t="s">
        <v>8</v>
      </c>
      <c r="G27" s="7"/>
      <c r="H27" s="15">
        <f>AT_KPIs!B27+TG_KPIs!B27</f>
        <v>0</v>
      </c>
      <c r="I27" s="10" t="s">
        <v>8</v>
      </c>
    </row>
    <row r="29" spans="1:9" ht="25.5" customHeight="1" x14ac:dyDescent="0.25">
      <c r="A29" s="44"/>
      <c r="B29" s="44"/>
      <c r="C29" s="44"/>
      <c r="D29" s="44"/>
      <c r="E29" s="44"/>
      <c r="F29" s="44"/>
      <c r="G29" s="44"/>
      <c r="H29" s="44"/>
      <c r="I29" s="44"/>
    </row>
    <row r="30" spans="1:9" ht="21.75" customHeight="1" x14ac:dyDescent="0.25">
      <c r="A30" s="8" t="s">
        <v>29</v>
      </c>
      <c r="B30" s="9">
        <f>AT_KPIs!B31</f>
        <v>1</v>
      </c>
      <c r="C30" s="10" t="s">
        <v>16</v>
      </c>
      <c r="D30" s="7"/>
      <c r="E30" s="9">
        <f>TG_KPIs!B31</f>
        <v>1</v>
      </c>
      <c r="F30" s="10" t="s">
        <v>16</v>
      </c>
      <c r="G30" s="7"/>
      <c r="H30" s="9">
        <f>AT_KPIs!B31+TG_KPIs!B31</f>
        <v>2</v>
      </c>
      <c r="I30" s="10" t="s">
        <v>16</v>
      </c>
    </row>
    <row r="31" spans="1:9" ht="21.75" customHeight="1" x14ac:dyDescent="0.25">
      <c r="A31" s="11" t="s">
        <v>30</v>
      </c>
      <c r="B31" s="12">
        <f>AT_KPIs!B32</f>
        <v>1</v>
      </c>
      <c r="C31" s="13" t="s">
        <v>8</v>
      </c>
      <c r="D31" s="1"/>
      <c r="E31" s="12">
        <f>TG_KPIs!B32</f>
        <v>1</v>
      </c>
      <c r="F31" s="13" t="s">
        <v>8</v>
      </c>
      <c r="G31" s="1"/>
      <c r="H31" s="12">
        <f>AT_KPIs!B32+TG_KPIs!B32</f>
        <v>2</v>
      </c>
      <c r="I31" s="13" t="s">
        <v>8</v>
      </c>
    </row>
    <row r="32" spans="1:9" ht="21.75" customHeight="1" x14ac:dyDescent="0.25">
      <c r="A32" s="8" t="s">
        <v>31</v>
      </c>
      <c r="B32" s="17">
        <f>AT_KPIs!B33</f>
        <v>0</v>
      </c>
      <c r="C32" s="10" t="s">
        <v>16</v>
      </c>
      <c r="D32" s="7"/>
      <c r="E32" s="17">
        <f>TG_KPIs!B33</f>
        <v>0</v>
      </c>
      <c r="F32" s="10" t="s">
        <v>16</v>
      </c>
      <c r="G32" s="7"/>
      <c r="H32" s="17">
        <f>AT_KPIs!B33+TG_KPIs!B33</f>
        <v>0</v>
      </c>
      <c r="I32" s="10" t="s">
        <v>16</v>
      </c>
    </row>
    <row r="33" spans="1:9" ht="21.75" customHeight="1" x14ac:dyDescent="0.25">
      <c r="A33" s="11" t="s">
        <v>32</v>
      </c>
      <c r="B33" s="12">
        <f>AT_KPIs!B34</f>
        <v>1</v>
      </c>
      <c r="C33" s="13" t="s">
        <v>8</v>
      </c>
      <c r="D33" s="1"/>
      <c r="E33" s="12">
        <f>TG_KPIs!B34</f>
        <v>1</v>
      </c>
      <c r="F33" s="13" t="s">
        <v>8</v>
      </c>
      <c r="G33" s="1"/>
      <c r="H33" s="12">
        <f>AT_KPIs!B34+TG_KPIs!B34</f>
        <v>2</v>
      </c>
      <c r="I33" s="13" t="s">
        <v>8</v>
      </c>
    </row>
    <row r="35" spans="1:9" ht="25.5" customHeight="1" x14ac:dyDescent="0.25">
      <c r="A35" s="45"/>
      <c r="B35" s="45"/>
      <c r="C35" s="45"/>
      <c r="D35" s="45"/>
      <c r="E35" s="45"/>
      <c r="F35" s="45"/>
      <c r="G35" s="45"/>
      <c r="H35" s="45"/>
      <c r="I35" s="45"/>
    </row>
    <row r="36" spans="1:9" ht="21.75" customHeight="1" x14ac:dyDescent="0.25">
      <c r="A36" s="8" t="s">
        <v>33</v>
      </c>
      <c r="B36" s="9">
        <f>AT_KPIs!B37</f>
        <v>324</v>
      </c>
      <c r="C36" s="10" t="s">
        <v>16</v>
      </c>
      <c r="D36" s="7"/>
      <c r="E36" s="9">
        <f>TG_KPIs!B37</f>
        <v>129</v>
      </c>
      <c r="F36" s="10" t="s">
        <v>16</v>
      </c>
      <c r="G36" s="7"/>
      <c r="H36" s="9">
        <f>AT_KPIs!B37+TG_KPIs!B37</f>
        <v>453</v>
      </c>
      <c r="I36" s="10" t="s">
        <v>16</v>
      </c>
    </row>
    <row r="37" spans="1:9" ht="21.75" customHeight="1" x14ac:dyDescent="0.25">
      <c r="A37" s="11" t="s">
        <v>30</v>
      </c>
      <c r="B37" s="15">
        <f>AT_KPIs!B38</f>
        <v>60</v>
      </c>
      <c r="C37" s="13" t="s">
        <v>16</v>
      </c>
      <c r="D37" s="1"/>
      <c r="E37" s="15">
        <f>TG_KPIs!B38</f>
        <v>0</v>
      </c>
      <c r="F37" s="13" t="s">
        <v>16</v>
      </c>
      <c r="G37" s="1"/>
      <c r="H37" s="15">
        <f>AT_KPIs!B38+TG_KPIs!B38</f>
        <v>60</v>
      </c>
      <c r="I37" s="13" t="s">
        <v>16</v>
      </c>
    </row>
    <row r="38" spans="1:9" ht="21.75" customHeight="1" x14ac:dyDescent="0.25">
      <c r="A38" s="8" t="s">
        <v>31</v>
      </c>
      <c r="B38" s="17">
        <f>AT_KPIs!B39</f>
        <v>192</v>
      </c>
      <c r="C38" s="10" t="s">
        <v>16</v>
      </c>
      <c r="D38" s="7"/>
      <c r="E38" s="17">
        <f>TG_KPIs!B39</f>
        <v>129</v>
      </c>
      <c r="F38" s="10" t="s">
        <v>16</v>
      </c>
      <c r="G38" s="7"/>
      <c r="H38" s="17">
        <f>AT_KPIs!B39+TG_KPIs!B39</f>
        <v>321</v>
      </c>
      <c r="I38" s="10" t="s">
        <v>16</v>
      </c>
    </row>
    <row r="39" spans="1:9" ht="21.75" customHeight="1" x14ac:dyDescent="0.25">
      <c r="A39" s="11" t="s">
        <v>34</v>
      </c>
      <c r="B39" s="12">
        <f>AT_KPIs!B40</f>
        <v>24</v>
      </c>
      <c r="C39" s="13" t="s">
        <v>16</v>
      </c>
      <c r="D39" s="1"/>
      <c r="E39" s="12">
        <f>TG_KPIs!B40</f>
        <v>0</v>
      </c>
      <c r="F39" s="13" t="s">
        <v>16</v>
      </c>
      <c r="G39" s="1"/>
      <c r="H39" s="12">
        <f>AT_KPIs!B40+TG_KPIs!B40</f>
        <v>24</v>
      </c>
      <c r="I39" s="13" t="s">
        <v>16</v>
      </c>
    </row>
    <row r="40" spans="1:9" ht="21.75" customHeight="1" x14ac:dyDescent="0.25">
      <c r="A40" s="11" t="s">
        <v>35</v>
      </c>
      <c r="B40" s="14">
        <f>AT_KPIs!B41</f>
        <v>144</v>
      </c>
      <c r="C40" s="13" t="s">
        <v>16</v>
      </c>
      <c r="D40" s="1"/>
      <c r="E40" s="14">
        <f>TG_KPIs!B41</f>
        <v>116</v>
      </c>
      <c r="F40" s="13" t="s">
        <v>16</v>
      </c>
      <c r="G40" s="1"/>
      <c r="H40" s="14">
        <f>AT_KPIs!B41+TG_KPIs!B41</f>
        <v>260</v>
      </c>
      <c r="I40" s="13" t="s">
        <v>16</v>
      </c>
    </row>
    <row r="41" spans="1:9" ht="21.75" customHeight="1" x14ac:dyDescent="0.25">
      <c r="A41" s="11" t="s">
        <v>36</v>
      </c>
      <c r="B41" s="14">
        <f>PROJECT_KPIs!B42</f>
        <v>59</v>
      </c>
      <c r="C41" s="13"/>
      <c r="D41" s="1"/>
      <c r="E41" s="14">
        <f>PROJECT_KPIs!C42</f>
        <v>116</v>
      </c>
      <c r="F41" s="13"/>
      <c r="G41" s="1"/>
      <c r="H41" s="14">
        <f>AT_KPIs!B42+TG_KPIs!B42</f>
        <v>175</v>
      </c>
      <c r="I41" s="13"/>
    </row>
    <row r="42" spans="1:9" ht="21.75" customHeight="1" x14ac:dyDescent="0.25">
      <c r="A42" s="11" t="s">
        <v>59</v>
      </c>
      <c r="B42" s="14">
        <f>PROJECT_KPIs!B43</f>
        <v>36</v>
      </c>
      <c r="C42" s="13"/>
      <c r="D42" s="1"/>
      <c r="E42" s="14">
        <f>PROJECT_KPIs!C43</f>
        <v>6</v>
      </c>
      <c r="F42" s="13"/>
      <c r="G42" s="1"/>
      <c r="H42" s="14">
        <f>AT_KPIs!B43+TG_KPIs!B43</f>
        <v>42</v>
      </c>
      <c r="I42" s="13"/>
    </row>
    <row r="43" spans="1:9" ht="21.75" customHeight="1" x14ac:dyDescent="0.25">
      <c r="A43" s="11" t="s">
        <v>60</v>
      </c>
      <c r="B43" s="14">
        <f>PROJECT_KPIs!B44</f>
        <v>24</v>
      </c>
      <c r="C43" s="13"/>
      <c r="D43" s="1"/>
      <c r="E43" s="14">
        <f>PROJECT_KPIs!C44</f>
        <v>0</v>
      </c>
      <c r="F43" s="13"/>
      <c r="G43" s="1"/>
      <c r="H43" s="14">
        <f>AT_KPIs!B44+TG_KPIs!B44</f>
        <v>24</v>
      </c>
      <c r="I43" s="13"/>
    </row>
    <row r="44" spans="1:9" ht="21.75" customHeight="1" x14ac:dyDescent="0.25">
      <c r="A44" s="11" t="s">
        <v>48</v>
      </c>
      <c r="B44" s="14">
        <f>PROJECT_KPIs!B45</f>
        <v>23</v>
      </c>
      <c r="C44" s="13"/>
      <c r="D44" s="1"/>
      <c r="E44" s="14">
        <f>PROJECT_KPIs!C45</f>
        <v>3</v>
      </c>
      <c r="F44" s="13"/>
      <c r="G44" s="1"/>
      <c r="H44" s="14">
        <f>AT_KPIs!B45+TG_KPIs!B45</f>
        <v>26</v>
      </c>
      <c r="I44" s="13"/>
    </row>
    <row r="45" spans="1:9" ht="21.75" customHeight="1" x14ac:dyDescent="0.25">
      <c r="A45" s="8" t="s">
        <v>50</v>
      </c>
      <c r="B45" s="14">
        <f>PROJECT_KPIs!B46</f>
        <v>35</v>
      </c>
      <c r="C45" s="10" t="s">
        <v>16</v>
      </c>
      <c r="D45" s="7"/>
      <c r="E45" s="14">
        <f>PROJECT_KPIs!C46</f>
        <v>0</v>
      </c>
      <c r="F45" s="10" t="s">
        <v>16</v>
      </c>
      <c r="G45" s="7"/>
      <c r="H45" s="14">
        <f>AT_KPIs!B46+TG_KPIs!B46</f>
        <v>35</v>
      </c>
      <c r="I45" s="10" t="s">
        <v>16</v>
      </c>
    </row>
  </sheetData>
  <mergeCells count="11">
    <mergeCell ref="A1:I1"/>
    <mergeCell ref="A2:I2"/>
    <mergeCell ref="A3:I3"/>
    <mergeCell ref="B4:C4"/>
    <mergeCell ref="E4:F4"/>
    <mergeCell ref="H4:I4"/>
    <mergeCell ref="A6:I6"/>
    <mergeCell ref="A16:I16"/>
    <mergeCell ref="A22:I22"/>
    <mergeCell ref="A29:I29"/>
    <mergeCell ref="A35:I35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6"/>
  <sheetViews>
    <sheetView showGridLines="0" topLeftCell="A30" zoomScale="130" zoomScaleNormal="130" workbookViewId="0">
      <selection activeCell="A41" sqref="A41:XFD46"/>
    </sheetView>
  </sheetViews>
  <sheetFormatPr defaultColWidth="8.7109375" defaultRowHeight="15" x14ac:dyDescent="0.25"/>
  <cols>
    <col min="1" max="1" width="32" customWidth="1"/>
    <col min="2" max="2" width="18" customWidth="1"/>
    <col min="3" max="3" width="14" customWidth="1"/>
  </cols>
  <sheetData>
    <row r="1" spans="1:3" ht="37.5" customHeight="1" x14ac:dyDescent="0.25">
      <c r="A1" s="53" t="s">
        <v>37</v>
      </c>
      <c r="B1" s="53"/>
      <c r="C1" s="53"/>
    </row>
    <row r="3" spans="1:3" ht="21.75" customHeight="1" x14ac:dyDescent="0.25">
      <c r="A3" s="54" t="s">
        <v>38</v>
      </c>
      <c r="B3" s="54"/>
      <c r="C3" s="54"/>
    </row>
    <row r="4" spans="1:3" ht="19.5" customHeight="1" x14ac:dyDescent="0.25">
      <c r="A4" s="11" t="s">
        <v>7</v>
      </c>
      <c r="B4" s="33">
        <f>[1]DASHBOARD!$G$22</f>
        <v>10</v>
      </c>
      <c r="C4" s="20"/>
    </row>
    <row r="5" spans="1:3" ht="19.5" customHeight="1" x14ac:dyDescent="0.25">
      <c r="A5" s="11" t="s">
        <v>9</v>
      </c>
      <c r="B5" s="34">
        <f>[1]DASHBOARD!$G$13</f>
        <v>0</v>
      </c>
      <c r="C5" s="22"/>
    </row>
    <row r="6" spans="1:3" ht="19.5" customHeight="1" x14ac:dyDescent="0.25">
      <c r="A6" s="11" t="s">
        <v>10</v>
      </c>
      <c r="B6" s="34">
        <f>[1]DASHBOARD!$G$14</f>
        <v>0</v>
      </c>
      <c r="C6" s="22"/>
    </row>
    <row r="7" spans="1:3" ht="19.5" customHeight="1" x14ac:dyDescent="0.25">
      <c r="A7" s="11" t="s">
        <v>11</v>
      </c>
      <c r="B7" s="33">
        <f>[1]DASHBOARD!$G$15</f>
        <v>0</v>
      </c>
      <c r="C7" s="20"/>
    </row>
    <row r="8" spans="1:3" ht="19.5" customHeight="1" x14ac:dyDescent="0.25">
      <c r="A8" s="11" t="s">
        <v>12</v>
      </c>
      <c r="B8" s="33">
        <f>[1]DASHBOARD!$G$16</f>
        <v>1</v>
      </c>
      <c r="C8" s="20"/>
    </row>
    <row r="9" spans="1:3" ht="19.5" customHeight="1" x14ac:dyDescent="0.25">
      <c r="A9" s="11" t="s">
        <v>13</v>
      </c>
      <c r="B9" s="37">
        <f>[1]DASHBOARD!$G$17</f>
        <v>2</v>
      </c>
      <c r="C9" s="24"/>
    </row>
    <row r="10" spans="1:3" ht="19.5" customHeight="1" x14ac:dyDescent="0.25">
      <c r="A10" s="11" t="s">
        <v>15</v>
      </c>
      <c r="B10" s="33">
        <f>[1]DASHBOARD!$G$18</f>
        <v>0</v>
      </c>
      <c r="C10" s="20"/>
    </row>
    <row r="11" spans="1:3" ht="19.5" customHeight="1" x14ac:dyDescent="0.25">
      <c r="A11" s="11" t="s">
        <v>39</v>
      </c>
      <c r="B11" s="33">
        <f>[1]DASHBOARD!$G$19</f>
        <v>2</v>
      </c>
      <c r="C11" s="20"/>
    </row>
    <row r="12" spans="1:3" ht="19.5" customHeight="1" x14ac:dyDescent="0.25">
      <c r="A12" s="11" t="s">
        <v>40</v>
      </c>
      <c r="B12" s="33">
        <f>[1]DASHBOARD!$G$20</f>
        <v>0</v>
      </c>
      <c r="C12" s="20"/>
    </row>
    <row r="13" spans="1:3" ht="19.5" customHeight="1" x14ac:dyDescent="0.25">
      <c r="A13" s="11" t="s">
        <v>41</v>
      </c>
      <c r="B13" s="33">
        <f>[1]DASHBOARD!$G$21</f>
        <v>5</v>
      </c>
      <c r="C13" s="20"/>
    </row>
    <row r="14" spans="1:3" ht="19.5" customHeight="1" x14ac:dyDescent="0.25">
      <c r="A14" s="11" t="s">
        <v>17</v>
      </c>
      <c r="B14" s="25">
        <f>[1]DASHBOARD!$G$23</f>
        <v>0</v>
      </c>
      <c r="C14" s="26"/>
    </row>
    <row r="16" spans="1:3" ht="21.75" customHeight="1" x14ac:dyDescent="0.25">
      <c r="A16" s="55" t="s">
        <v>42</v>
      </c>
      <c r="B16" s="55"/>
      <c r="C16" s="55"/>
    </row>
    <row r="17" spans="1:3" ht="19.5" customHeight="1" x14ac:dyDescent="0.25">
      <c r="A17" s="11" t="s">
        <v>19</v>
      </c>
      <c r="B17" s="33">
        <f>[1]DASHBOARD!$J$48</f>
        <v>9</v>
      </c>
      <c r="C17" s="20"/>
    </row>
    <row r="18" spans="1:3" ht="19.5" customHeight="1" x14ac:dyDescent="0.25">
      <c r="A18" s="11" t="s">
        <v>20</v>
      </c>
      <c r="B18" s="34">
        <f>[1]DASHBOARD!$G$48</f>
        <v>5</v>
      </c>
      <c r="C18" s="22"/>
    </row>
    <row r="19" spans="1:3" ht="19.5" customHeight="1" x14ac:dyDescent="0.25">
      <c r="A19" s="11" t="s">
        <v>21</v>
      </c>
      <c r="B19" s="35">
        <f>[1]DASHBOARD!$D$48</f>
        <v>11</v>
      </c>
      <c r="C19" s="26"/>
    </row>
    <row r="20" spans="1:3" ht="19.5" customHeight="1" x14ac:dyDescent="0.25">
      <c r="A20" s="11" t="s">
        <v>22</v>
      </c>
      <c r="B20" s="28">
        <f>[1]DASHBOARD!$P$48</f>
        <v>0.66666666666666663</v>
      </c>
      <c r="C20" s="26"/>
    </row>
    <row r="22" spans="1:3" ht="21.75" customHeight="1" x14ac:dyDescent="0.25">
      <c r="A22" s="56" t="s">
        <v>43</v>
      </c>
      <c r="B22" s="56"/>
      <c r="C22" s="56"/>
    </row>
    <row r="23" spans="1:3" ht="19.5" customHeight="1" x14ac:dyDescent="0.25">
      <c r="A23" s="11" t="s">
        <v>24</v>
      </c>
      <c r="B23" s="19" cm="1">
        <f t="array" ref="B23:C23">'[2]NCR Dashboard'!$A$4:$B$4</f>
        <v>22</v>
      </c>
      <c r="C23" s="20">
        <v>0</v>
      </c>
    </row>
    <row r="24" spans="1:3" ht="19.5" customHeight="1" x14ac:dyDescent="0.25">
      <c r="A24" s="11" t="s">
        <v>25</v>
      </c>
      <c r="B24" s="21" cm="1">
        <f t="array" ref="B24:C24">'[2]NCR Dashboard'!$C$4:$D$4</f>
        <v>0</v>
      </c>
      <c r="C24" s="22">
        <v>0</v>
      </c>
    </row>
    <row r="25" spans="1:3" ht="19.5" customHeight="1" x14ac:dyDescent="0.25">
      <c r="A25" s="11" t="s">
        <v>26</v>
      </c>
      <c r="B25" s="27" cm="1">
        <f t="array" ref="B25:C25">'[2]NCR Dashboard'!$E$4:$F$4</f>
        <v>22</v>
      </c>
      <c r="C25" s="26">
        <v>0</v>
      </c>
    </row>
    <row r="26" spans="1:3" ht="19.5" customHeight="1" x14ac:dyDescent="0.25">
      <c r="A26" s="11" t="s">
        <v>27</v>
      </c>
      <c r="B26" s="21" cm="1">
        <f t="array" ref="B26:C26">'[2]NCR Dashboard'!$C$7:$D$7</f>
        <v>0</v>
      </c>
      <c r="C26" s="22">
        <v>0</v>
      </c>
    </row>
    <row r="27" spans="1:3" ht="19.5" customHeight="1" x14ac:dyDescent="0.25">
      <c r="A27" s="11" t="s">
        <v>28</v>
      </c>
      <c r="B27" s="23" cm="1">
        <f t="array" ref="B27:C27">'[2]NCR Dashboard'!$E$7:$F$7</f>
        <v>0</v>
      </c>
      <c r="C27" s="24">
        <v>0</v>
      </c>
    </row>
    <row r="28" spans="1:3" ht="19.5" customHeight="1" x14ac:dyDescent="0.25">
      <c r="A28" s="11" t="s">
        <v>44</v>
      </c>
      <c r="B28" s="19" cm="1">
        <f t="array" ref="B28:C28">'[2]NCR Dashboard'!$G$7:$H$7</f>
        <v>0</v>
      </c>
      <c r="C28" s="20">
        <v>0</v>
      </c>
    </row>
    <row r="30" spans="1:3" ht="21.75" customHeight="1" x14ac:dyDescent="0.25">
      <c r="A30" s="57" t="s">
        <v>45</v>
      </c>
      <c r="B30" s="57"/>
      <c r="C30" s="57"/>
    </row>
    <row r="31" spans="1:3" ht="19.5" customHeight="1" x14ac:dyDescent="0.25">
      <c r="A31" s="11" t="s">
        <v>29</v>
      </c>
      <c r="B31" s="19" cm="1">
        <f t="array" ref="B31:C31">'[2]OBS Dashboard'!$A$4:$B$4</f>
        <v>1</v>
      </c>
      <c r="C31" s="20">
        <v>0</v>
      </c>
    </row>
    <row r="32" spans="1:3" ht="19.5" customHeight="1" x14ac:dyDescent="0.25">
      <c r="A32" s="11" t="s">
        <v>30</v>
      </c>
      <c r="B32" s="21">
        <f>'[2]OBS Dashboard'!$C$4</f>
        <v>1</v>
      </c>
      <c r="C32" s="22"/>
    </row>
    <row r="33" spans="1:3" ht="19.5" customHeight="1" x14ac:dyDescent="0.25">
      <c r="A33" s="11" t="s">
        <v>31</v>
      </c>
      <c r="B33" s="27" cm="1">
        <f t="array" ref="B33:C33">'[2]OBS Dashboard'!$D$4:$E$4</f>
        <v>0</v>
      </c>
      <c r="C33" s="26">
        <v>0</v>
      </c>
    </row>
    <row r="34" spans="1:3" ht="19.5" customHeight="1" x14ac:dyDescent="0.25">
      <c r="A34" s="11" t="s">
        <v>32</v>
      </c>
      <c r="B34" s="21">
        <f>'[2]OBS Dashboard'!$F$4</f>
        <v>1</v>
      </c>
      <c r="C34" s="22"/>
    </row>
    <row r="36" spans="1:3" ht="21.75" customHeight="1" x14ac:dyDescent="0.25">
      <c r="A36" s="52" t="s">
        <v>46</v>
      </c>
      <c r="B36" s="52"/>
      <c r="C36" s="52"/>
    </row>
    <row r="37" spans="1:3" ht="19.5" customHeight="1" x14ac:dyDescent="0.25">
      <c r="A37" s="11" t="s">
        <v>47</v>
      </c>
      <c r="B37" s="19">
        <f>[3]Dashboard!$A$4</f>
        <v>324</v>
      </c>
      <c r="C37" s="20"/>
    </row>
    <row r="38" spans="1:3" ht="19.5" customHeight="1" x14ac:dyDescent="0.25">
      <c r="A38" s="11" t="s">
        <v>30</v>
      </c>
      <c r="B38" s="23">
        <f>[3]Dashboard!$C$4</f>
        <v>60</v>
      </c>
      <c r="C38" s="24"/>
    </row>
    <row r="39" spans="1:3" ht="19.5" customHeight="1" x14ac:dyDescent="0.25">
      <c r="A39" s="11" t="s">
        <v>31</v>
      </c>
      <c r="B39" s="27">
        <f>[3]Dashboard!$D$4</f>
        <v>192</v>
      </c>
      <c r="C39" s="26"/>
    </row>
    <row r="40" spans="1:3" ht="19.5" customHeight="1" x14ac:dyDescent="0.25">
      <c r="A40" s="11" t="s">
        <v>34</v>
      </c>
      <c r="B40" s="21">
        <f>[3]Dashboard!$F$4</f>
        <v>24</v>
      </c>
      <c r="C40" s="22"/>
    </row>
    <row r="41" spans="1:3" ht="19.5" customHeight="1" x14ac:dyDescent="0.25">
      <c r="A41" s="11" t="s">
        <v>35</v>
      </c>
      <c r="B41" s="19">
        <f>[3]Dashboard!$E$9</f>
        <v>144</v>
      </c>
      <c r="C41" s="20"/>
    </row>
    <row r="42" spans="1:3" ht="19.5" customHeight="1" x14ac:dyDescent="0.25">
      <c r="A42" s="11" t="s">
        <v>36</v>
      </c>
      <c r="B42" s="19">
        <f>[3]Dashboard!$E$10</f>
        <v>59</v>
      </c>
      <c r="C42" s="20"/>
    </row>
    <row r="43" spans="1:3" ht="19.5" customHeight="1" x14ac:dyDescent="0.25">
      <c r="A43" s="36" t="s">
        <v>59</v>
      </c>
      <c r="B43" s="19">
        <f>[3]Dashboard!$E$11</f>
        <v>36</v>
      </c>
      <c r="C43" s="20"/>
    </row>
    <row r="44" spans="1:3" ht="19.5" customHeight="1" x14ac:dyDescent="0.25">
      <c r="A44" s="11" t="s">
        <v>48</v>
      </c>
      <c r="B44" s="19">
        <f>[3]Dashboard!$E$13</f>
        <v>24</v>
      </c>
      <c r="C44" s="20"/>
    </row>
    <row r="45" spans="1:3" ht="19.5" customHeight="1" x14ac:dyDescent="0.25">
      <c r="A45" s="11" t="s">
        <v>49</v>
      </c>
      <c r="B45" s="19">
        <f>[3]Dashboard!$E$12</f>
        <v>23</v>
      </c>
      <c r="C45" s="20"/>
    </row>
    <row r="46" spans="1:3" ht="19.5" customHeight="1" x14ac:dyDescent="0.25">
      <c r="A46" s="11" t="s">
        <v>50</v>
      </c>
      <c r="B46" s="19">
        <f>[3]Dashboard!$E$14</f>
        <v>35</v>
      </c>
      <c r="C46" s="20"/>
    </row>
  </sheetData>
  <mergeCells count="6">
    <mergeCell ref="A36:C36"/>
    <mergeCell ref="A1:C1"/>
    <mergeCell ref="A3:C3"/>
    <mergeCell ref="A16:C16"/>
    <mergeCell ref="A22:C22"/>
    <mergeCell ref="A30:C30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6"/>
  <sheetViews>
    <sheetView showGridLines="0" topLeftCell="A35" zoomScaleNormal="100" workbookViewId="0">
      <selection activeCell="A41" sqref="A41:XFD46"/>
    </sheetView>
  </sheetViews>
  <sheetFormatPr defaultColWidth="8.7109375" defaultRowHeight="15" x14ac:dyDescent="0.25"/>
  <cols>
    <col min="1" max="1" width="32" customWidth="1"/>
    <col min="2" max="2" width="18" customWidth="1"/>
    <col min="3" max="3" width="46" customWidth="1"/>
  </cols>
  <sheetData>
    <row r="1" spans="1:3" ht="37.5" customHeight="1" x14ac:dyDescent="0.25">
      <c r="A1" s="58" t="s">
        <v>51</v>
      </c>
      <c r="B1" s="58"/>
      <c r="C1" s="58"/>
    </row>
    <row r="3" spans="1:3" ht="21.75" customHeight="1" x14ac:dyDescent="0.25">
      <c r="A3" s="54" t="s">
        <v>38</v>
      </c>
      <c r="B3" s="54"/>
      <c r="C3" s="54"/>
    </row>
    <row r="4" spans="1:3" ht="19.5" customHeight="1" x14ac:dyDescent="0.25">
      <c r="A4" s="11" t="s">
        <v>7</v>
      </c>
      <c r="B4" s="33">
        <f>[1]DASHBOARD!$P$22</f>
        <v>0</v>
      </c>
      <c r="C4" s="20"/>
    </row>
    <row r="5" spans="1:3" ht="19.5" customHeight="1" x14ac:dyDescent="0.25">
      <c r="A5" s="11" t="s">
        <v>9</v>
      </c>
      <c r="B5" s="34">
        <f>[1]DASHBOARD!$P$13</f>
        <v>0</v>
      </c>
      <c r="C5" s="22"/>
    </row>
    <row r="6" spans="1:3" ht="19.5" customHeight="1" x14ac:dyDescent="0.25">
      <c r="A6" s="11" t="s">
        <v>10</v>
      </c>
      <c r="B6" s="34">
        <f>[1]DASHBOARD!$P$14</f>
        <v>0</v>
      </c>
      <c r="C6" s="22"/>
    </row>
    <row r="7" spans="1:3" ht="19.5" customHeight="1" x14ac:dyDescent="0.25">
      <c r="A7" s="11" t="s">
        <v>11</v>
      </c>
      <c r="B7" s="33">
        <f>[1]DASHBOARD!$P$15</f>
        <v>0</v>
      </c>
      <c r="C7" s="20"/>
    </row>
    <row r="8" spans="1:3" ht="19.5" customHeight="1" x14ac:dyDescent="0.25">
      <c r="A8" s="11" t="s">
        <v>12</v>
      </c>
      <c r="B8" s="33">
        <f>[1]DASHBOARD!$P$16</f>
        <v>0</v>
      </c>
      <c r="C8" s="20"/>
    </row>
    <row r="9" spans="1:3" ht="19.5" customHeight="1" x14ac:dyDescent="0.25">
      <c r="A9" s="11" t="s">
        <v>13</v>
      </c>
      <c r="B9" s="37">
        <f>[1]DASHBOARD!$G$17</f>
        <v>2</v>
      </c>
      <c r="C9" s="24"/>
    </row>
    <row r="10" spans="1:3" ht="19.5" customHeight="1" x14ac:dyDescent="0.25">
      <c r="A10" s="11" t="s">
        <v>15</v>
      </c>
      <c r="B10" s="33">
        <f>[1]DASHBOARD!$P$18</f>
        <v>0</v>
      </c>
      <c r="C10" s="20"/>
    </row>
    <row r="11" spans="1:3" ht="19.5" customHeight="1" x14ac:dyDescent="0.25">
      <c r="A11" s="11" t="s">
        <v>39</v>
      </c>
      <c r="B11" s="33">
        <f>[1]DASHBOARD!$P$19</f>
        <v>0</v>
      </c>
      <c r="C11" s="20"/>
    </row>
    <row r="12" spans="1:3" ht="19.5" customHeight="1" x14ac:dyDescent="0.25">
      <c r="A12" s="11" t="s">
        <v>40</v>
      </c>
      <c r="B12" s="33">
        <f>[1]DASHBOARD!$P$20</f>
        <v>0</v>
      </c>
      <c r="C12" s="20"/>
    </row>
    <row r="13" spans="1:3" ht="19.5" customHeight="1" x14ac:dyDescent="0.25">
      <c r="A13" s="11" t="s">
        <v>41</v>
      </c>
      <c r="B13" s="33">
        <f>[1]DASHBOARD!$P$21</f>
        <v>0</v>
      </c>
      <c r="C13" s="20"/>
    </row>
    <row r="14" spans="1:3" ht="19.5" customHeight="1" x14ac:dyDescent="0.25">
      <c r="A14" s="11" t="s">
        <v>17</v>
      </c>
      <c r="B14" s="25">
        <f>[1]DASHBOARD!$P$23</f>
        <v>0</v>
      </c>
      <c r="C14" s="26"/>
    </row>
    <row r="16" spans="1:3" ht="21.75" customHeight="1" x14ac:dyDescent="0.25">
      <c r="A16" s="55" t="s">
        <v>42</v>
      </c>
      <c r="B16" s="55"/>
      <c r="C16" s="55"/>
    </row>
    <row r="17" spans="1:3" ht="19.5" customHeight="1" x14ac:dyDescent="0.25">
      <c r="A17" s="11" t="s">
        <v>19</v>
      </c>
      <c r="B17" s="33">
        <f>[1]DASHBOARD!$M$48</f>
        <v>7</v>
      </c>
      <c r="C17" s="20"/>
    </row>
    <row r="18" spans="1:3" ht="19.5" customHeight="1" x14ac:dyDescent="0.25">
      <c r="A18" s="11" t="s">
        <v>20</v>
      </c>
      <c r="B18" s="34">
        <f>[1]DASHBOARD!$G$48</f>
        <v>5</v>
      </c>
      <c r="C18" s="22"/>
    </row>
    <row r="19" spans="1:3" ht="19.5" customHeight="1" x14ac:dyDescent="0.25">
      <c r="A19" s="11" t="s">
        <v>21</v>
      </c>
      <c r="B19" s="35">
        <f>[1]DASHBOARD!$D$48</f>
        <v>11</v>
      </c>
      <c r="C19" s="26"/>
    </row>
    <row r="20" spans="1:3" ht="19.5" customHeight="1" x14ac:dyDescent="0.25">
      <c r="A20" s="11" t="s">
        <v>22</v>
      </c>
      <c r="B20" s="28">
        <f>[1]DASHBOARD!$S$48</f>
        <v>0.7142857142857143</v>
      </c>
      <c r="C20" s="26"/>
    </row>
    <row r="22" spans="1:3" ht="21.75" customHeight="1" x14ac:dyDescent="0.25">
      <c r="A22" s="56" t="s">
        <v>43</v>
      </c>
      <c r="B22" s="56"/>
      <c r="C22" s="56"/>
    </row>
    <row r="23" spans="1:3" ht="19.5" customHeight="1" x14ac:dyDescent="0.25">
      <c r="A23" s="11" t="s">
        <v>24</v>
      </c>
      <c r="B23" s="19" cm="1">
        <f t="array" ref="B23:C23">'[2]NCR Dashboard'!$J$4:$K$4</f>
        <v>7</v>
      </c>
      <c r="C23" s="20">
        <v>0</v>
      </c>
    </row>
    <row r="24" spans="1:3" ht="19.5" customHeight="1" x14ac:dyDescent="0.25">
      <c r="A24" s="11" t="s">
        <v>25</v>
      </c>
      <c r="B24" s="21" cm="1">
        <f t="array" ref="B24:C24">'[2]NCR Dashboard'!$L$4:$M$4</f>
        <v>1</v>
      </c>
      <c r="C24" s="22">
        <v>0</v>
      </c>
    </row>
    <row r="25" spans="1:3" ht="19.5" customHeight="1" x14ac:dyDescent="0.25">
      <c r="A25" s="11" t="s">
        <v>26</v>
      </c>
      <c r="B25" s="27" cm="1">
        <f t="array" ref="B25:C25">'[2]NCR Dashboard'!$N$4:$O$4</f>
        <v>6</v>
      </c>
      <c r="C25" s="26">
        <v>0</v>
      </c>
    </row>
    <row r="26" spans="1:3" ht="19.5" customHeight="1" x14ac:dyDescent="0.25">
      <c r="A26" s="11" t="s">
        <v>27</v>
      </c>
      <c r="B26" s="21" cm="1">
        <f t="array" ref="B26:C26">'[2]NCR Dashboard'!$L$7:$M$7</f>
        <v>1</v>
      </c>
      <c r="C26" s="22">
        <v>0</v>
      </c>
    </row>
    <row r="27" spans="1:3" ht="19.5" customHeight="1" x14ac:dyDescent="0.25">
      <c r="A27" s="11" t="s">
        <v>28</v>
      </c>
      <c r="B27" s="23" cm="1">
        <f t="array" ref="B27:C27">'[2]NCR Dashboard'!$N$7:$O$7</f>
        <v>0</v>
      </c>
      <c r="C27" s="24">
        <v>0</v>
      </c>
    </row>
    <row r="28" spans="1:3" ht="19.5" customHeight="1" x14ac:dyDescent="0.25">
      <c r="A28" s="11" t="s">
        <v>44</v>
      </c>
      <c r="B28" s="19" cm="1">
        <f t="array" ref="B28:C28">'[2]NCR Dashboard'!$P$7:$Q$7</f>
        <v>0</v>
      </c>
      <c r="C28" s="20">
        <v>0</v>
      </c>
    </row>
    <row r="30" spans="1:3" ht="21.75" customHeight="1" x14ac:dyDescent="0.25">
      <c r="A30" s="57" t="s">
        <v>45</v>
      </c>
      <c r="B30" s="57"/>
      <c r="C30" s="57"/>
    </row>
    <row r="31" spans="1:3" ht="19.5" customHeight="1" x14ac:dyDescent="0.25">
      <c r="A31" s="11" t="s">
        <v>29</v>
      </c>
      <c r="B31" s="19" cm="1">
        <f t="array" ref="B31:C31">'[2]OBS Dashboard'!$H$4:$I$4</f>
        <v>1</v>
      </c>
      <c r="C31" s="20">
        <v>0</v>
      </c>
    </row>
    <row r="32" spans="1:3" ht="19.5" customHeight="1" x14ac:dyDescent="0.25">
      <c r="A32" s="11" t="s">
        <v>30</v>
      </c>
      <c r="B32" s="21">
        <f>'[2]OBS Dashboard'!$J$4</f>
        <v>1</v>
      </c>
      <c r="C32" s="22"/>
    </row>
    <row r="33" spans="1:3" ht="19.5" customHeight="1" x14ac:dyDescent="0.25">
      <c r="A33" s="11" t="s">
        <v>31</v>
      </c>
      <c r="B33" s="27" cm="1">
        <f t="array" ref="B33:C33">'[2]OBS Dashboard'!$K$4:$L$4</f>
        <v>0</v>
      </c>
      <c r="C33" s="26">
        <v>0</v>
      </c>
    </row>
    <row r="34" spans="1:3" ht="19.5" customHeight="1" x14ac:dyDescent="0.25">
      <c r="A34" s="11" t="s">
        <v>32</v>
      </c>
      <c r="B34" s="21">
        <f>'[2]OBS Dashboard'!$M$4</f>
        <v>1</v>
      </c>
      <c r="C34" s="22"/>
    </row>
    <row r="36" spans="1:3" ht="21.75" customHeight="1" x14ac:dyDescent="0.25">
      <c r="A36" s="52" t="s">
        <v>46</v>
      </c>
      <c r="B36" s="52"/>
      <c r="C36" s="52"/>
    </row>
    <row r="37" spans="1:3" ht="19.5" customHeight="1" x14ac:dyDescent="0.25">
      <c r="A37" s="11" t="s">
        <v>47</v>
      </c>
      <c r="B37" s="19">
        <f>[3]Dashboard!$H$4</f>
        <v>129</v>
      </c>
      <c r="C37" s="20"/>
    </row>
    <row r="38" spans="1:3" ht="19.5" customHeight="1" x14ac:dyDescent="0.25">
      <c r="A38" s="11" t="s">
        <v>30</v>
      </c>
      <c r="B38" s="23">
        <f>[3]Dashboard!$J$4</f>
        <v>0</v>
      </c>
      <c r="C38" s="24"/>
    </row>
    <row r="39" spans="1:3" ht="19.5" customHeight="1" x14ac:dyDescent="0.25">
      <c r="A39" s="11" t="s">
        <v>31</v>
      </c>
      <c r="B39" s="27">
        <f>[3]Dashboard!$K$4</f>
        <v>129</v>
      </c>
      <c r="C39" s="26"/>
    </row>
    <row r="40" spans="1:3" ht="19.5" customHeight="1" x14ac:dyDescent="0.25">
      <c r="A40" s="11" t="s">
        <v>34</v>
      </c>
      <c r="B40" s="21">
        <f>[3]Dashboard!$M$4</f>
        <v>0</v>
      </c>
      <c r="C40" s="22"/>
    </row>
    <row r="41" spans="1:3" ht="19.5" customHeight="1" x14ac:dyDescent="0.25">
      <c r="A41" s="11" t="s">
        <v>35</v>
      </c>
      <c r="B41" s="19">
        <f>[3]Dashboard!$L$9</f>
        <v>116</v>
      </c>
      <c r="C41" s="20"/>
    </row>
    <row r="42" spans="1:3" ht="19.5" customHeight="1" x14ac:dyDescent="0.25">
      <c r="A42" s="11" t="s">
        <v>36</v>
      </c>
      <c r="B42" s="19">
        <f>[3]Dashboard!$L$10</f>
        <v>116</v>
      </c>
      <c r="C42" s="20"/>
    </row>
    <row r="43" spans="1:3" ht="19.5" customHeight="1" x14ac:dyDescent="0.25">
      <c r="A43" s="36" t="s">
        <v>59</v>
      </c>
      <c r="B43" s="19">
        <f>[3]Dashboard!$L$11</f>
        <v>6</v>
      </c>
      <c r="C43" s="20"/>
    </row>
    <row r="44" spans="1:3" ht="19.5" customHeight="1" x14ac:dyDescent="0.25">
      <c r="A44" s="11" t="s">
        <v>48</v>
      </c>
      <c r="B44" s="19">
        <f>[3]Dashboard!$L$13</f>
        <v>0</v>
      </c>
      <c r="C44" s="20"/>
    </row>
    <row r="45" spans="1:3" ht="19.5" customHeight="1" x14ac:dyDescent="0.25">
      <c r="A45" s="11" t="s">
        <v>49</v>
      </c>
      <c r="B45" s="19">
        <f>[3]Dashboard!$L$12</f>
        <v>3</v>
      </c>
      <c r="C45" s="20"/>
    </row>
    <row r="46" spans="1:3" ht="19.5" customHeight="1" x14ac:dyDescent="0.25">
      <c r="A46" s="11" t="s">
        <v>50</v>
      </c>
      <c r="B46" s="19">
        <f>[3]Dashboard!$L$14</f>
        <v>0</v>
      </c>
      <c r="C46" s="20"/>
    </row>
  </sheetData>
  <mergeCells count="6">
    <mergeCell ref="A36:C36"/>
    <mergeCell ref="A1:C1"/>
    <mergeCell ref="A3:C3"/>
    <mergeCell ref="A16:C16"/>
    <mergeCell ref="A22:C22"/>
    <mergeCell ref="A30:C30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46"/>
  <sheetViews>
    <sheetView showGridLines="0" topLeftCell="A27" zoomScaleNormal="100" workbookViewId="0">
      <selection activeCell="C51" sqref="C51"/>
    </sheetView>
  </sheetViews>
  <sheetFormatPr defaultColWidth="8.7109375" defaultRowHeight="15" x14ac:dyDescent="0.25"/>
  <cols>
    <col min="1" max="1" width="32" customWidth="1"/>
    <col min="2" max="3" width="18" customWidth="1"/>
    <col min="4" max="4" width="24.140625" bestFit="1" customWidth="1"/>
  </cols>
  <sheetData>
    <row r="1" spans="1:4" ht="37.5" customHeight="1" x14ac:dyDescent="0.25">
      <c r="A1" s="59" t="s">
        <v>52</v>
      </c>
      <c r="B1" s="59"/>
      <c r="C1" s="59"/>
      <c r="D1" s="59"/>
    </row>
    <row r="2" spans="1:4" ht="15.75" customHeight="1" x14ac:dyDescent="0.25"/>
    <row r="3" spans="1:4" ht="24" customHeight="1" x14ac:dyDescent="0.25">
      <c r="A3" s="38" t="s">
        <v>53</v>
      </c>
      <c r="B3" s="32" t="s">
        <v>1</v>
      </c>
      <c r="C3" s="31" t="s">
        <v>2</v>
      </c>
      <c r="D3" s="29" t="s">
        <v>3</v>
      </c>
    </row>
    <row r="4" spans="1:4" ht="21.75" customHeight="1" x14ac:dyDescent="0.25">
      <c r="A4" s="54" t="s">
        <v>38</v>
      </c>
      <c r="B4" s="54"/>
      <c r="C4" s="54"/>
      <c r="D4" s="54"/>
    </row>
    <row r="5" spans="1:4" ht="19.5" customHeight="1" x14ac:dyDescent="0.25">
      <c r="A5" s="8" t="s">
        <v>7</v>
      </c>
      <c r="B5" s="19">
        <f>AT_KPIs!B4</f>
        <v>10</v>
      </c>
      <c r="C5" s="19">
        <f>TG_KPIs!B4</f>
        <v>0</v>
      </c>
      <c r="D5" s="19">
        <f>AT_KPIs!B4+TG_KPIs!B4</f>
        <v>10</v>
      </c>
    </row>
    <row r="6" spans="1:4" ht="19.5" customHeight="1" x14ac:dyDescent="0.25">
      <c r="A6" s="11" t="s">
        <v>9</v>
      </c>
      <c r="B6" s="21">
        <f>AT_KPIs!B5</f>
        <v>0</v>
      </c>
      <c r="C6" s="21">
        <f>TG_KPIs!B5</f>
        <v>0</v>
      </c>
      <c r="D6" s="21">
        <f>AT_KPIs!B5+TG_KPIs!B5</f>
        <v>0</v>
      </c>
    </row>
    <row r="7" spans="1:4" ht="19.5" customHeight="1" x14ac:dyDescent="0.25">
      <c r="A7" s="8" t="s">
        <v>54</v>
      </c>
      <c r="B7" s="21">
        <f>AT_KPIs!B6</f>
        <v>0</v>
      </c>
      <c r="C7" s="21">
        <f>TG_KPIs!B6</f>
        <v>0</v>
      </c>
      <c r="D7" s="21">
        <f>AT_KPIs!B6+TG_KPIs!B6</f>
        <v>0</v>
      </c>
    </row>
    <row r="8" spans="1:4" ht="19.5" customHeight="1" x14ac:dyDescent="0.25">
      <c r="A8" s="11" t="s">
        <v>11</v>
      </c>
      <c r="B8" s="19">
        <f>AT_KPIs!B7</f>
        <v>0</v>
      </c>
      <c r="C8" s="19">
        <f>TG_KPIs!B7</f>
        <v>0</v>
      </c>
      <c r="D8" s="19">
        <f>AT_KPIs!B7+TG_KPIs!B7</f>
        <v>0</v>
      </c>
    </row>
    <row r="9" spans="1:4" ht="19.5" customHeight="1" x14ac:dyDescent="0.25">
      <c r="A9" s="8" t="s">
        <v>12</v>
      </c>
      <c r="B9" s="19">
        <f>AT_KPIs!B8</f>
        <v>1</v>
      </c>
      <c r="C9" s="19">
        <f>TG_KPIs!B8</f>
        <v>0</v>
      </c>
      <c r="D9" s="19">
        <f>AT_KPIs!B8+TG_KPIs!B8</f>
        <v>1</v>
      </c>
    </row>
    <row r="10" spans="1:4" ht="19.5" customHeight="1" x14ac:dyDescent="0.25">
      <c r="A10" s="11" t="s">
        <v>13</v>
      </c>
      <c r="B10" s="23">
        <f>AT_KPIs!B9</f>
        <v>2</v>
      </c>
      <c r="C10" s="23">
        <f>TG_KPIs!B9</f>
        <v>2</v>
      </c>
      <c r="D10" s="23">
        <f>AT_KPIs!B9+TG_KPIs!B9</f>
        <v>4</v>
      </c>
    </row>
    <row r="11" spans="1:4" ht="19.5" customHeight="1" x14ac:dyDescent="0.25">
      <c r="A11" s="8" t="s">
        <v>55</v>
      </c>
      <c r="B11" s="19">
        <f>AT_KPIs!B10</f>
        <v>0</v>
      </c>
      <c r="C11" s="19">
        <f>TG_KPIs!B10</f>
        <v>0</v>
      </c>
      <c r="D11" s="19">
        <f>AT_KPIs!B10+TG_KPIs!B10</f>
        <v>0</v>
      </c>
    </row>
    <row r="12" spans="1:4" ht="19.5" customHeight="1" x14ac:dyDescent="0.25">
      <c r="A12" s="11" t="s">
        <v>39</v>
      </c>
      <c r="B12" s="19">
        <f>AT_KPIs!B11</f>
        <v>2</v>
      </c>
      <c r="C12" s="19">
        <f>TG_KPIs!B11</f>
        <v>0</v>
      </c>
      <c r="D12" s="19">
        <f>AT_KPIs!B11+TG_KPIs!B11</f>
        <v>2</v>
      </c>
    </row>
    <row r="13" spans="1:4" ht="19.5" customHeight="1" x14ac:dyDescent="0.25">
      <c r="A13" s="8" t="s">
        <v>56</v>
      </c>
      <c r="B13" s="19">
        <f>AT_KPIs!B12</f>
        <v>0</v>
      </c>
      <c r="C13" s="19">
        <f>TG_KPIs!B12</f>
        <v>0</v>
      </c>
      <c r="D13" s="19">
        <f>AT_KPIs!B12+TG_KPIs!B12</f>
        <v>0</v>
      </c>
    </row>
    <row r="14" spans="1:4" ht="19.5" customHeight="1" x14ac:dyDescent="0.25">
      <c r="A14" s="11" t="s">
        <v>41</v>
      </c>
      <c r="B14" s="19">
        <f>AT_KPIs!B13</f>
        <v>5</v>
      </c>
      <c r="C14" s="19">
        <f>TG_KPIs!B13</f>
        <v>0</v>
      </c>
      <c r="D14" s="19">
        <f>AT_KPIs!B13+TG_KPIs!B13</f>
        <v>5</v>
      </c>
    </row>
    <row r="15" spans="1:4" ht="19.5" customHeight="1" x14ac:dyDescent="0.25">
      <c r="A15" s="8" t="s">
        <v>17</v>
      </c>
      <c r="B15" s="25">
        <f>AT_KPIs!B14</f>
        <v>0</v>
      </c>
      <c r="C15" s="25">
        <f>TG_KPIs!B14</f>
        <v>0</v>
      </c>
      <c r="D15" s="25">
        <f>IFERROR((AT_KPIs!B9+TG_KPIs!B9)/IF(AT_KPIs!B6+TG_KPIs!B6=0,1,AT_KPIs!B6+TG_KPIs!B6),0)</f>
        <v>4</v>
      </c>
    </row>
    <row r="17" spans="1:4" ht="21.75" customHeight="1" x14ac:dyDescent="0.25">
      <c r="A17" s="55" t="s">
        <v>42</v>
      </c>
      <c r="B17" s="55"/>
      <c r="C17" s="55"/>
      <c r="D17" s="55"/>
    </row>
    <row r="18" spans="1:4" ht="19.5" customHeight="1" x14ac:dyDescent="0.25">
      <c r="A18" s="8" t="s">
        <v>19</v>
      </c>
      <c r="B18" s="19">
        <f>AT_KPIs!B17</f>
        <v>9</v>
      </c>
      <c r="C18" s="19">
        <f>TG_KPIs!B17</f>
        <v>7</v>
      </c>
      <c r="D18" s="19">
        <f>AT_KPIs!B17+TG_KPIs!B17</f>
        <v>16</v>
      </c>
    </row>
    <row r="19" spans="1:4" ht="19.5" customHeight="1" x14ac:dyDescent="0.25">
      <c r="A19" s="11" t="s">
        <v>20</v>
      </c>
      <c r="B19" s="21">
        <f>AT_KPIs!B18</f>
        <v>5</v>
      </c>
      <c r="C19" s="21">
        <f>TG_KPIs!B18</f>
        <v>5</v>
      </c>
      <c r="D19" s="21">
        <f>AT_KPIs!B18+TG_KPIs!B18</f>
        <v>10</v>
      </c>
    </row>
    <row r="20" spans="1:4" ht="19.5" customHeight="1" x14ac:dyDescent="0.25">
      <c r="A20" s="8" t="s">
        <v>21</v>
      </c>
      <c r="B20" s="27">
        <f>AT_KPIs!B19</f>
        <v>11</v>
      </c>
      <c r="C20" s="27">
        <f>TG_KPIs!B19</f>
        <v>11</v>
      </c>
      <c r="D20" s="27">
        <f>AT_KPIs!B19+TG_KPIs!B19</f>
        <v>22</v>
      </c>
    </row>
    <row r="21" spans="1:4" ht="19.5" customHeight="1" x14ac:dyDescent="0.25">
      <c r="A21" s="11" t="s">
        <v>57</v>
      </c>
      <c r="B21" s="28">
        <f>AT_KPIs!B20</f>
        <v>0.66666666666666663</v>
      </c>
      <c r="C21" s="28">
        <f>TG_KPIs!B20</f>
        <v>0.7142857142857143</v>
      </c>
      <c r="D21" s="28">
        <f>IFERROR((AT_KPIs!B19+TG_KPIs!B19)/(AT_KPIs!B17+TG_KPIs!B17),0)</f>
        <v>1.375</v>
      </c>
    </row>
    <row r="23" spans="1:4" ht="21.75" customHeight="1" x14ac:dyDescent="0.25">
      <c r="A23" s="56" t="s">
        <v>43</v>
      </c>
      <c r="B23" s="56"/>
      <c r="C23" s="56"/>
      <c r="D23" s="56"/>
    </row>
    <row r="24" spans="1:4" ht="19.5" customHeight="1" x14ac:dyDescent="0.25">
      <c r="A24" s="8" t="s">
        <v>24</v>
      </c>
      <c r="B24" s="19">
        <f>AT_KPIs!B23</f>
        <v>22</v>
      </c>
      <c r="C24" s="19">
        <f>TG_KPIs!B23</f>
        <v>7</v>
      </c>
      <c r="D24" s="19">
        <f>AT_KPIs!B23+TG_KPIs!B23</f>
        <v>29</v>
      </c>
    </row>
    <row r="25" spans="1:4" ht="19.5" customHeight="1" x14ac:dyDescent="0.25">
      <c r="A25" s="11" t="s">
        <v>25</v>
      </c>
      <c r="B25" s="21">
        <f>AT_KPIs!B24</f>
        <v>0</v>
      </c>
      <c r="C25" s="21">
        <f>TG_KPIs!B24</f>
        <v>1</v>
      </c>
      <c r="D25" s="21">
        <f>AT_KPIs!B24+TG_KPIs!B24</f>
        <v>1</v>
      </c>
    </row>
    <row r="26" spans="1:4" ht="19.5" customHeight="1" x14ac:dyDescent="0.25">
      <c r="A26" s="8" t="s">
        <v>26</v>
      </c>
      <c r="B26" s="27">
        <f>AT_KPIs!B25</f>
        <v>22</v>
      </c>
      <c r="C26" s="27">
        <f>TG_KPIs!B25</f>
        <v>6</v>
      </c>
      <c r="D26" s="27">
        <f>AT_KPIs!B25+TG_KPIs!B25</f>
        <v>28</v>
      </c>
    </row>
    <row r="27" spans="1:4" ht="19.5" customHeight="1" x14ac:dyDescent="0.25">
      <c r="A27" s="11" t="s">
        <v>27</v>
      </c>
      <c r="B27" s="21">
        <f>AT_KPIs!B26</f>
        <v>0</v>
      </c>
      <c r="C27" s="21">
        <f>TG_KPIs!B26</f>
        <v>1</v>
      </c>
      <c r="D27" s="21">
        <f>AT_KPIs!B26+TG_KPIs!B26</f>
        <v>1</v>
      </c>
    </row>
    <row r="28" spans="1:4" ht="19.5" customHeight="1" x14ac:dyDescent="0.25">
      <c r="A28" s="8" t="s">
        <v>28</v>
      </c>
      <c r="B28" s="23">
        <f>AT_KPIs!B27</f>
        <v>0</v>
      </c>
      <c r="C28" s="23">
        <f>TG_KPIs!B27</f>
        <v>0</v>
      </c>
      <c r="D28" s="23">
        <f>AT_KPIs!B27+TG_KPIs!B27</f>
        <v>0</v>
      </c>
    </row>
    <row r="30" spans="1:4" ht="21.75" customHeight="1" x14ac:dyDescent="0.25">
      <c r="A30" s="57" t="s">
        <v>45</v>
      </c>
      <c r="B30" s="57"/>
      <c r="C30" s="57"/>
      <c r="D30" s="57"/>
    </row>
    <row r="31" spans="1:4" ht="19.5" customHeight="1" x14ac:dyDescent="0.25">
      <c r="A31" s="8" t="s">
        <v>29</v>
      </c>
      <c r="B31" s="19">
        <f>AT_KPIs!B31</f>
        <v>1</v>
      </c>
      <c r="C31" s="19">
        <f>TG_KPIs!B31</f>
        <v>1</v>
      </c>
      <c r="D31" s="19">
        <f>AT_KPIs!B31+TG_KPIs!B31</f>
        <v>2</v>
      </c>
    </row>
    <row r="32" spans="1:4" ht="19.5" customHeight="1" x14ac:dyDescent="0.25">
      <c r="A32" s="11" t="s">
        <v>30</v>
      </c>
      <c r="B32" s="21">
        <f>AT_KPIs!B32</f>
        <v>1</v>
      </c>
      <c r="C32" s="21">
        <f>TG_KPIs!B32</f>
        <v>1</v>
      </c>
      <c r="D32" s="21">
        <f>AT_KPIs!B32+TG_KPIs!B32</f>
        <v>2</v>
      </c>
    </row>
    <row r="33" spans="1:4" ht="19.5" customHeight="1" x14ac:dyDescent="0.25">
      <c r="A33" s="8" t="s">
        <v>31</v>
      </c>
      <c r="B33" s="27">
        <f>AT_KPIs!B33</f>
        <v>0</v>
      </c>
      <c r="C33" s="27">
        <f>TG_KPIs!B33</f>
        <v>0</v>
      </c>
      <c r="D33" s="27">
        <f>AT_KPIs!B33+TG_KPIs!B33</f>
        <v>0</v>
      </c>
    </row>
    <row r="34" spans="1:4" ht="19.5" customHeight="1" x14ac:dyDescent="0.25">
      <c r="A34" s="11" t="s">
        <v>32</v>
      </c>
      <c r="B34" s="21">
        <f>AT_KPIs!B34</f>
        <v>1</v>
      </c>
      <c r="C34" s="21">
        <f>TG_KPIs!B34</f>
        <v>1</v>
      </c>
      <c r="D34" s="21">
        <f>AT_KPIs!B34+TG_KPIs!B34</f>
        <v>2</v>
      </c>
    </row>
    <row r="36" spans="1:4" ht="21.75" customHeight="1" x14ac:dyDescent="0.25">
      <c r="A36" s="52" t="s">
        <v>58</v>
      </c>
      <c r="B36" s="52"/>
      <c r="C36" s="52"/>
      <c r="D36" s="52"/>
    </row>
    <row r="37" spans="1:4" ht="19.5" customHeight="1" x14ac:dyDescent="0.25">
      <c r="A37" s="8" t="s">
        <v>47</v>
      </c>
      <c r="B37" s="19">
        <f>AT_KPIs!B37</f>
        <v>324</v>
      </c>
      <c r="C37" s="19">
        <f>TG_KPIs!B37</f>
        <v>129</v>
      </c>
      <c r="D37" s="19">
        <f>AT_KPIs!B37+TG_KPIs!B37</f>
        <v>453</v>
      </c>
    </row>
    <row r="38" spans="1:4" ht="19.5" customHeight="1" x14ac:dyDescent="0.25">
      <c r="A38" s="11" t="s">
        <v>30</v>
      </c>
      <c r="B38" s="23">
        <f>AT_KPIs!B38</f>
        <v>60</v>
      </c>
      <c r="C38" s="23">
        <f>TG_KPIs!B38</f>
        <v>0</v>
      </c>
      <c r="D38" s="23">
        <f>AT_KPIs!B38+TG_KPIs!B38</f>
        <v>60</v>
      </c>
    </row>
    <row r="39" spans="1:4" ht="19.5" customHeight="1" x14ac:dyDescent="0.25">
      <c r="A39" s="8" t="s">
        <v>31</v>
      </c>
      <c r="B39" s="27">
        <f>AT_KPIs!B39</f>
        <v>192</v>
      </c>
      <c r="C39" s="27">
        <f>TG_KPIs!B39</f>
        <v>129</v>
      </c>
      <c r="D39" s="27">
        <f>AT_KPIs!B39+TG_KPIs!B39</f>
        <v>321</v>
      </c>
    </row>
    <row r="40" spans="1:4" ht="19.5" customHeight="1" x14ac:dyDescent="0.25">
      <c r="A40" s="11" t="s">
        <v>34</v>
      </c>
      <c r="B40" s="21">
        <f>AT_KPIs!B40</f>
        <v>24</v>
      </c>
      <c r="C40" s="21">
        <f>TG_KPIs!B40</f>
        <v>0</v>
      </c>
      <c r="D40" s="21">
        <f>AT_KPIs!B40+TG_KPIs!B40</f>
        <v>24</v>
      </c>
    </row>
    <row r="41" spans="1:4" ht="19.5" customHeight="1" x14ac:dyDescent="0.25">
      <c r="A41" s="11" t="s">
        <v>35</v>
      </c>
      <c r="B41" s="39">
        <f>AT_KPIs!B41</f>
        <v>144</v>
      </c>
      <c r="C41" s="39">
        <f>TG_KPIs!B41</f>
        <v>116</v>
      </c>
      <c r="D41" s="40">
        <f>AT_KPIs!B41+TG_KPIs!B41</f>
        <v>260</v>
      </c>
    </row>
    <row r="42" spans="1:4" ht="19.5" customHeight="1" x14ac:dyDescent="0.25">
      <c r="A42" s="11" t="s">
        <v>36</v>
      </c>
      <c r="B42" s="19">
        <f>AT_KPIs!B42</f>
        <v>59</v>
      </c>
      <c r="C42" s="39">
        <f>TG_KPIs!B42</f>
        <v>116</v>
      </c>
      <c r="D42" s="40">
        <f>AT_KPIs!B42+TG_KPIs!B42</f>
        <v>175</v>
      </c>
    </row>
    <row r="43" spans="1:4" ht="19.5" customHeight="1" x14ac:dyDescent="0.25">
      <c r="A43" s="36" t="s">
        <v>59</v>
      </c>
      <c r="B43" s="19">
        <f>AT_KPIs!B43</f>
        <v>36</v>
      </c>
      <c r="C43" s="39">
        <f>TG_KPIs!B43</f>
        <v>6</v>
      </c>
      <c r="D43" s="40">
        <f>AT_KPIs!B43+TG_KPIs!B43</f>
        <v>42</v>
      </c>
    </row>
    <row r="44" spans="1:4" ht="19.5" customHeight="1" x14ac:dyDescent="0.25">
      <c r="A44" s="11" t="s">
        <v>48</v>
      </c>
      <c r="B44" s="19">
        <f>AT_KPIs!B44</f>
        <v>24</v>
      </c>
      <c r="C44" s="39">
        <f>TG_KPIs!B44</f>
        <v>0</v>
      </c>
      <c r="D44" s="40">
        <f>AT_KPIs!B44+TG_KPIs!B44</f>
        <v>24</v>
      </c>
    </row>
    <row r="45" spans="1:4" ht="19.5" customHeight="1" x14ac:dyDescent="0.25">
      <c r="A45" s="11" t="s">
        <v>49</v>
      </c>
      <c r="B45" s="19">
        <f>AT_KPIs!B45</f>
        <v>23</v>
      </c>
      <c r="C45" s="39">
        <f>TG_KPIs!B45</f>
        <v>3</v>
      </c>
      <c r="D45" s="40">
        <f>AT_KPIs!B45+TG_KPIs!B45</f>
        <v>26</v>
      </c>
    </row>
    <row r="46" spans="1:4" ht="19.5" customHeight="1" x14ac:dyDescent="0.25">
      <c r="A46" s="11" t="s">
        <v>50</v>
      </c>
      <c r="B46" s="19">
        <f>AT_KPIs!B46</f>
        <v>35</v>
      </c>
      <c r="C46" s="39">
        <f>TG_KPIs!B46</f>
        <v>0</v>
      </c>
      <c r="D46" s="40">
        <f>AT_KPIs!B46+TG_KPIs!B46</f>
        <v>35</v>
      </c>
    </row>
  </sheetData>
  <mergeCells count="6">
    <mergeCell ref="A36:D36"/>
    <mergeCell ref="A1:D1"/>
    <mergeCell ref="A4:D4"/>
    <mergeCell ref="A17:D17"/>
    <mergeCell ref="A23:D23"/>
    <mergeCell ref="A30:D3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 DASHBOARD</vt:lpstr>
      <vt:lpstr>AT_KPIs</vt:lpstr>
      <vt:lpstr>TG_KPIs</vt:lpstr>
      <vt:lpstr>PROJECT_KPIs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Amjad Al Batrani | FMME</cp:lastModifiedBy>
  <cp:revision>0</cp:revision>
  <dcterms:created xsi:type="dcterms:W3CDTF">2026-03-24T08:08:58Z</dcterms:created>
  <dcterms:modified xsi:type="dcterms:W3CDTF">2026-03-24T15:11:46Z</dcterms:modified>
  <dc:language>en-US</dc:language>
</cp:coreProperties>
</file>